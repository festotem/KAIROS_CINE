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<sst xmlns="http://schemas.openxmlformats.org/spreadsheetml/2006/main" count="534" uniqueCount="393">
  <si>
    <t>ORÇAMENTO</t>
  </si>
  <si>
    <t>Data</t>
  </si>
  <si>
    <t>Titulo</t>
  </si>
  <si>
    <t>Reality Show</t>
  </si>
  <si>
    <t>Rolos / Episódios</t>
  </si>
  <si>
    <t>Produtora</t>
  </si>
  <si>
    <t>Floresta Produções</t>
  </si>
  <si>
    <t xml:space="preserve"> </t>
  </si>
  <si>
    <t>Duração (em min)</t>
  </si>
  <si>
    <t>Contato</t>
  </si>
  <si>
    <t>Fabrício Correa</t>
  </si>
  <si>
    <t>Temporada</t>
  </si>
  <si>
    <t>Formato</t>
  </si>
  <si>
    <t>HD - SDR</t>
  </si>
  <si>
    <t>Canal</t>
  </si>
  <si>
    <t>Amazon Prime</t>
  </si>
  <si>
    <t>Unit1</t>
  </si>
  <si>
    <t>Unit2</t>
  </si>
  <si>
    <t>PGM</t>
  </si>
  <si>
    <t>Unit4</t>
  </si>
  <si>
    <t>Camera</t>
  </si>
  <si>
    <t>BM G2</t>
  </si>
  <si>
    <t>Resolução</t>
  </si>
  <si>
    <t>HDR</t>
  </si>
  <si>
    <t>Codec</t>
  </si>
  <si>
    <t>Prores 422</t>
  </si>
  <si>
    <t>Tempo de REC por dia/cam hs</t>
  </si>
  <si>
    <t>Hs</t>
  </si>
  <si>
    <t>Quantidade de cameras</t>
  </si>
  <si>
    <t>Cameras</t>
  </si>
  <si>
    <t>Espaço em Disco por hora de material bruto</t>
  </si>
  <si>
    <t>GB</t>
  </si>
  <si>
    <t>Diarias de Gravação</t>
  </si>
  <si>
    <t>Hs por PGM</t>
  </si>
  <si>
    <t xml:space="preserve">Quantidade em Horas de material bruto </t>
  </si>
  <si>
    <t>Espaço total necessário OCF TB</t>
  </si>
  <si>
    <t>Terabyte</t>
  </si>
  <si>
    <t>Quantidade de de Fitas LTO para 1 Via de Backup (LTO9)</t>
  </si>
  <si>
    <t>Fitas</t>
  </si>
  <si>
    <t>Espaço total necessário Convertido DNX LB 145</t>
  </si>
  <si>
    <t>Item</t>
  </si>
  <si>
    <t>Serviço</t>
  </si>
  <si>
    <t>Multi</t>
  </si>
  <si>
    <t>Quantidade</t>
  </si>
  <si>
    <t>Unidade</t>
  </si>
  <si>
    <t>Valor Unitário</t>
  </si>
  <si>
    <t>Valor Total</t>
  </si>
  <si>
    <t>01 - LABORATORIO DIGITAL</t>
  </si>
  <si>
    <t>SUBTOTAL ITEM</t>
  </si>
  <si>
    <t>01-01</t>
  </si>
  <si>
    <t>Conversão OCF / Editorial - para Premiere Pro 2025</t>
  </si>
  <si>
    <t>hr/material</t>
  </si>
  <si>
    <t>01-02</t>
  </si>
  <si>
    <t>Gerenciamento de Metadados</t>
  </si>
  <si>
    <t>01-03</t>
  </si>
  <si>
    <t>Conversão OCF / Dailies SDR  (PIX)</t>
  </si>
  <si>
    <t>01-04</t>
  </si>
  <si>
    <t>Conversão OCF / Dailies HDR (Frame IO)</t>
  </si>
  <si>
    <t>01-05</t>
  </si>
  <si>
    <t>Supervisão de Cor (OCF)</t>
  </si>
  <si>
    <t>hr/trabalho</t>
  </si>
  <si>
    <t>01-06</t>
  </si>
  <si>
    <t>Select / Circle Takes (10%OCF)</t>
  </si>
  <si>
    <t>01-07</t>
  </si>
  <si>
    <t>Conversão OCF / Mezzanino</t>
  </si>
  <si>
    <t>01-08</t>
  </si>
  <si>
    <t>Conversão Material de Arquivo / Mezzanino</t>
  </si>
  <si>
    <t>01-09</t>
  </si>
  <si>
    <t>Conversão Material de Arquivo / Offline</t>
  </si>
  <si>
    <t>01-10</t>
  </si>
  <si>
    <t>IQC (Checagem de OCF)</t>
  </si>
  <si>
    <t>01-11</t>
  </si>
  <si>
    <t>IQC Spot Check (Checagem de OCF)</t>
  </si>
  <si>
    <t>01-12</t>
  </si>
  <si>
    <t>Download OCF</t>
  </si>
  <si>
    <t>Tb</t>
  </si>
  <si>
    <t>01-13</t>
  </si>
  <si>
    <t>Upload OCF</t>
  </si>
  <si>
    <t>01-14</t>
  </si>
  <si>
    <r>
      <rPr>
        <rFont val="Open Sans"/>
        <color rgb="FF434343"/>
        <sz val="11.0"/>
      </rPr>
      <t>Backup ou Restauração - LTO / OCF (</t>
    </r>
    <r>
      <rPr>
        <rFont val="Open Sans"/>
        <b/>
        <color rgb="FF434343"/>
        <sz val="11.0"/>
      </rPr>
      <t>Fitas não inclusas</t>
    </r>
    <r>
      <rPr>
        <rFont val="Open Sans"/>
        <color rgb="FF434343"/>
        <sz val="11.0"/>
      </rPr>
      <t>)</t>
    </r>
  </si>
  <si>
    <t>01-15</t>
  </si>
  <si>
    <t>Armazenamento Snowball</t>
  </si>
  <si>
    <t>01-16</t>
  </si>
  <si>
    <t>Armazenamento RAID-5</t>
  </si>
  <si>
    <t>diária</t>
  </si>
  <si>
    <t>01-17</t>
  </si>
  <si>
    <t>Unidade Movel - LAB</t>
  </si>
  <si>
    <t>02 - CONFORM</t>
  </si>
  <si>
    <t>02-01</t>
  </si>
  <si>
    <t>Conform</t>
  </si>
  <si>
    <t>02-02</t>
  </si>
  <si>
    <t>Conform Efeitos Visuais Push &amp; Pull</t>
  </si>
  <si>
    <t>shot</t>
  </si>
  <si>
    <t>03 - CORREÇÃO DE COR</t>
  </si>
  <si>
    <t>03-01</t>
  </si>
  <si>
    <t>Correção de Cor (Colorista Senior) SDR TrimPass</t>
  </si>
  <si>
    <t>diárias</t>
  </si>
  <si>
    <t>03-02</t>
  </si>
  <si>
    <t>Correção de Cor (Colorista Senior) HDR</t>
  </si>
  <si>
    <t>03-03</t>
  </si>
  <si>
    <t>Correção de Cor (Colorista Senior) Criação de LUT e Testes</t>
  </si>
  <si>
    <t>03-04</t>
  </si>
  <si>
    <t>Correção de Cor (Colorista Senior) Proof HDR</t>
  </si>
  <si>
    <t>03-05</t>
  </si>
  <si>
    <t>Correção de Cor (Colorista Senior) SDR</t>
  </si>
  <si>
    <t>03-06</t>
  </si>
  <si>
    <t>Correção de Cor (Colorista Pleno) HDR</t>
  </si>
  <si>
    <t>03-07</t>
  </si>
  <si>
    <t>Correção de Cor (Colorista Junior) SDR</t>
  </si>
  <si>
    <t>03-08</t>
  </si>
  <si>
    <t>Correção de Cor (Colorista Junior) HDR</t>
  </si>
  <si>
    <t>04 - EFEITOS VISUAIS (VFX)</t>
  </si>
  <si>
    <t>04-01</t>
  </si>
  <si>
    <t>Composição</t>
  </si>
  <si>
    <t>episodio</t>
  </si>
  <si>
    <t>04-02</t>
  </si>
  <si>
    <t>3D</t>
  </si>
  <si>
    <t>d/h</t>
  </si>
  <si>
    <t>04-03</t>
  </si>
  <si>
    <t>Digital Matte Painting</t>
  </si>
  <si>
    <t>04-04</t>
  </si>
  <si>
    <t>Concept Art</t>
  </si>
  <si>
    <t>pacote</t>
  </si>
  <si>
    <t>04-05</t>
  </si>
  <si>
    <t>Supervisão de Efeitos Visuais (set)</t>
  </si>
  <si>
    <t>semana</t>
  </si>
  <si>
    <t>04-06</t>
  </si>
  <si>
    <t>Supervisão de Efeitos Visuais (pre-produção)</t>
  </si>
  <si>
    <t>05 - EFEITOS GRÁFICOS (GFX)</t>
  </si>
  <si>
    <t>05-01</t>
  </si>
  <si>
    <t xml:space="preserve">Motion Design (Pacote grafico ) </t>
  </si>
  <si>
    <t>episódio</t>
  </si>
  <si>
    <t>05-02</t>
  </si>
  <si>
    <t>Motion Design (Gráficos para Letreiros)</t>
  </si>
  <si>
    <t>05-03</t>
  </si>
  <si>
    <t>Motion Design (Abertura)</t>
  </si>
  <si>
    <t>05-04</t>
  </si>
  <si>
    <t>Motion Design (Animação 2D)</t>
  </si>
  <si>
    <t>06 - MASTERIZAÇÃO</t>
  </si>
  <si>
    <t>06-01</t>
  </si>
  <si>
    <t>Edição Online</t>
  </si>
  <si>
    <t>06-02</t>
  </si>
  <si>
    <t>IQC</t>
  </si>
  <si>
    <t>minuto</t>
  </si>
  <si>
    <t>07 - CINEMA DIGITAL</t>
  </si>
  <si>
    <t>07-01</t>
  </si>
  <si>
    <t>Masterização de DCP 2D (OV)</t>
  </si>
  <si>
    <t>min</t>
  </si>
  <si>
    <t>07-02</t>
  </si>
  <si>
    <t>Masterização de DCP 2D (VF)</t>
  </si>
  <si>
    <t>07-03</t>
  </si>
  <si>
    <t>KDM</t>
  </si>
  <si>
    <t>serviço</t>
  </si>
  <si>
    <t>07-04</t>
  </si>
  <si>
    <t>DKDM</t>
  </si>
  <si>
    <t>07-05</t>
  </si>
  <si>
    <t>Encriptação de DCP Aberto</t>
  </si>
  <si>
    <t>08 - DELIVERABLES</t>
  </si>
  <si>
    <t>08-01</t>
  </si>
  <si>
    <t>Copião Eletrônico (qualquer codec)</t>
  </si>
  <si>
    <t>export</t>
  </si>
  <si>
    <t>08-02</t>
  </si>
  <si>
    <t>Master MOV / MXF / MP4</t>
  </si>
  <si>
    <t>08-03</t>
  </si>
  <si>
    <t>Master Mezzanino DPX / EXR / TIFF</t>
  </si>
  <si>
    <t>08-04</t>
  </si>
  <si>
    <t>GLOB Master MOV</t>
  </si>
  <si>
    <t>08-05</t>
  </si>
  <si>
    <t>GLOB Master Base Limpa MOV</t>
  </si>
  <si>
    <t>08-06</t>
  </si>
  <si>
    <t xml:space="preserve">WARN Master A IMF UHD HDR </t>
  </si>
  <si>
    <t>08-07</t>
  </si>
  <si>
    <t>WARN Master B MOV UHD SDR</t>
  </si>
  <si>
    <t>08-08</t>
  </si>
  <si>
    <t>WARN Master C XDCAM HD SDR</t>
  </si>
  <si>
    <t>08-09</t>
  </si>
  <si>
    <t>WARN Master EXR</t>
  </si>
  <si>
    <t>08-10</t>
  </si>
  <si>
    <t>WARN Master EXR NAM</t>
  </si>
  <si>
    <t>08-11</t>
  </si>
  <si>
    <t>WARN Master H264</t>
  </si>
  <si>
    <t>08-12</t>
  </si>
  <si>
    <t>WARN Proxies for Locations and Marketing</t>
  </si>
  <si>
    <t>08-13</t>
  </si>
  <si>
    <t>NTFL Master IMF (SDR) Delivery IMF QC Trimpass</t>
  </si>
  <si>
    <t>08-14</t>
  </si>
  <si>
    <t>NTFL Master IMF (SDR) Delivery: Textless</t>
  </si>
  <si>
    <t>08-15</t>
  </si>
  <si>
    <t>NTFL Master IMF (HDR) Delivery</t>
  </si>
  <si>
    <t>08-16</t>
  </si>
  <si>
    <t>NTFL Master IMF (HDR) Delivery: Textless</t>
  </si>
  <si>
    <t>08-17</t>
  </si>
  <si>
    <t>NTFL Master Non-Graded Archival Master</t>
  </si>
  <si>
    <t>08-18</t>
  </si>
  <si>
    <t>NTFL Master Non-Graded Archival Master: Textless Inserts</t>
  </si>
  <si>
    <t>08-19</t>
  </si>
  <si>
    <t>NTFL Master Picture Mastering Project Files</t>
  </si>
  <si>
    <t>08-20</t>
  </si>
  <si>
    <t>NTFL Master Picture Mastering Framing Charts</t>
  </si>
  <si>
    <t>08-21</t>
  </si>
  <si>
    <t>NTFL Master ProRes 422 HQ Servicing Turnover (SDR)</t>
  </si>
  <si>
    <t>08-22</t>
  </si>
  <si>
    <t>NTFL Master ProRes 422 HQ Servicing Turnover (SDR): Textless Complete</t>
  </si>
  <si>
    <t>08-23</t>
  </si>
  <si>
    <t>NTFL Master ProRes 4444 XQ Servicing Turnover (Dolby Vision)</t>
  </si>
  <si>
    <t>08-24</t>
  </si>
  <si>
    <t>NTFL Master ProRes 4444 XQ Servicing Turnover (Dolby Vision): Textless Insters</t>
  </si>
  <si>
    <t>08-25</t>
  </si>
  <si>
    <t>AMZN UHD HDR Production Master - Texted - 5.1 and 2.0</t>
  </si>
  <si>
    <t>08-26</t>
  </si>
  <si>
    <t>AMZN UHD HDR Production Master - Semi-Textless - 5.1 and 2.0</t>
  </si>
  <si>
    <t>08-27</t>
  </si>
  <si>
    <t>AMZN UHD HDR Production Master - Textless - 5.1 and 2.0</t>
  </si>
  <si>
    <t>08-28</t>
  </si>
  <si>
    <t>AMZN HDR-10 Metadataxx</t>
  </si>
  <si>
    <t>Fee</t>
  </si>
  <si>
    <t>08-29</t>
  </si>
  <si>
    <t>AMZN UHD HDR Textless Element Reel</t>
  </si>
  <si>
    <t>08-30</t>
  </si>
  <si>
    <t>AMZN UHD SDR Production Master - Texted - 5.1 and 2.0</t>
  </si>
  <si>
    <t>08-31</t>
  </si>
  <si>
    <t>AMZN UHD SDR Production Master - Semi-Textless - 5.1 and 2.0</t>
  </si>
  <si>
    <t>08-32</t>
  </si>
  <si>
    <t>AMZN UHD SDR Production Master - Textless - 5.1 and 2.0</t>
  </si>
  <si>
    <t>08-33</t>
  </si>
  <si>
    <t>AMZN UHD SDR Textless Element Reel</t>
  </si>
  <si>
    <t>08-34</t>
  </si>
  <si>
    <t>AMZN HD Split Track Master - 14ch</t>
  </si>
  <si>
    <t>08-35</t>
  </si>
  <si>
    <t>AMZN Master Picture Mastering Framing Charts</t>
  </si>
  <si>
    <t>08-36</t>
  </si>
  <si>
    <t>AMZN Archived VAM</t>
  </si>
  <si>
    <t>08-37</t>
  </si>
  <si>
    <t>AMZN Archived CTM</t>
  </si>
  <si>
    <t>08-38</t>
  </si>
  <si>
    <t>AMZN Up Load to nigthraven  VAM</t>
  </si>
  <si>
    <t>08-39</t>
  </si>
  <si>
    <t>AMZN Up Load to nigthraven  CTM</t>
  </si>
  <si>
    <t>08-40</t>
  </si>
  <si>
    <t xml:space="preserve">AMZN  Xray - AV MASTER HD </t>
  </si>
  <si>
    <t>08-41</t>
  </si>
  <si>
    <t>AMZN  Xray - X-RAY MASTER HD - H264</t>
  </si>
  <si>
    <t>08-42</t>
  </si>
  <si>
    <t>AMZN  Xray - X-RAY TEXTLESS</t>
  </si>
  <si>
    <t>08-43</t>
  </si>
  <si>
    <t xml:space="preserve">AMZN  Xray - ARCHIVAL MASTER UHD </t>
  </si>
  <si>
    <t>08-44</t>
  </si>
  <si>
    <t>DISN UHD HDR BT.2100 PQ ProRes 4444 (XQ) TEXTED – Português</t>
  </si>
  <si>
    <t>08-45</t>
  </si>
  <si>
    <t>DISN UHD HDR BT.2100 PQ ProRes 4444 (XQ) TEXTLESS</t>
  </si>
  <si>
    <t>08-46</t>
  </si>
  <si>
    <t>DISN UHD SDR ProRes 422 (HQ) TEXTED – Português</t>
  </si>
  <si>
    <t>08-47</t>
  </si>
  <si>
    <t>DISN UHD SDR ProRes 422 (HQ) TEXTLESS</t>
  </si>
  <si>
    <t>08-48</t>
  </si>
  <si>
    <t xml:space="preserve">DISN QT Proxy for Dubbing / Sub </t>
  </si>
  <si>
    <t>08-49</t>
  </si>
  <si>
    <t>DISN Dolby Vision Tone Mapping XML 4.0 - 100 e 600 nits</t>
  </si>
  <si>
    <t>08-50</t>
  </si>
  <si>
    <t>DISN Dolby Vision Tone Mapping XML 2.9 - 100 e 600 nits</t>
  </si>
  <si>
    <t>08-51</t>
  </si>
  <si>
    <t>DISN Metadata ST2086</t>
  </si>
  <si>
    <t>08-52</t>
  </si>
  <si>
    <t>DISN H264 Proxy of Final Texted Program</t>
  </si>
  <si>
    <t>08-53</t>
  </si>
  <si>
    <t>YOUT 4K/UHD YouTube Master (YTM)</t>
  </si>
  <si>
    <t>08-54</t>
  </si>
  <si>
    <t>YOUT 4K/UHD Broadcast Master (BCM)</t>
  </si>
  <si>
    <t>08-55</t>
  </si>
  <si>
    <t>YOUT 4K/UHD Textless Master (TLM)</t>
  </si>
  <si>
    <t>08-56</t>
  </si>
  <si>
    <t>YOUT HD YouTube Master (YTM, ProResHQ)</t>
  </si>
  <si>
    <t>08-57</t>
  </si>
  <si>
    <t>YOUT HD YouTube Master (YTM, H.264)</t>
  </si>
  <si>
    <t>08-58</t>
  </si>
  <si>
    <t>SPE - UHD HDR TIFF Encoding</t>
  </si>
  <si>
    <t>08-59</t>
  </si>
  <si>
    <t>SPE - UHD SDR DPX Encoding</t>
  </si>
  <si>
    <t>08-60</t>
  </si>
  <si>
    <t>SPE  - HD Video Master DPX</t>
  </si>
  <si>
    <t>08-61</t>
  </si>
  <si>
    <t>SPE  - HD Video Master Prores 422HD</t>
  </si>
  <si>
    <t>08-62</t>
  </si>
  <si>
    <t>SPE - UHD HDR TIFF Encoding textless</t>
  </si>
  <si>
    <t>08-63</t>
  </si>
  <si>
    <t>SPE - UHD SDR DPX Encoding textless</t>
  </si>
  <si>
    <t>08-64</t>
  </si>
  <si>
    <t>SPE  - HD Video Master DPX textless</t>
  </si>
  <si>
    <t>08-65</t>
  </si>
  <si>
    <t>SPE  - HD Video Master Prores 422HD textless</t>
  </si>
  <si>
    <t>08-66</t>
  </si>
  <si>
    <t>UP load / Snowball -  NAM</t>
  </si>
  <si>
    <t>TB</t>
  </si>
  <si>
    <t xml:space="preserve">Total Finalização de Imagem </t>
  </si>
  <si>
    <t>09 - EDIT</t>
  </si>
  <si>
    <t>09-01</t>
  </si>
  <si>
    <t>Servidor Alta performance 10GbE  - 100 TB</t>
  </si>
  <si>
    <t>09-02</t>
  </si>
  <si>
    <t>Ilha de Edição Alta performance 10GbE  - 5 TB</t>
  </si>
  <si>
    <t>mes</t>
  </si>
  <si>
    <t>09-03</t>
  </si>
  <si>
    <t>Ilha de Finalização - 5.1 + HDR</t>
  </si>
  <si>
    <t>09-04</t>
  </si>
  <si>
    <t>Ilha de Finalização</t>
  </si>
  <si>
    <t>09-05</t>
  </si>
  <si>
    <t>Ilha LAB</t>
  </si>
  <si>
    <t>09-06</t>
  </si>
  <si>
    <t>Ilha Conteúdo</t>
  </si>
  <si>
    <t>09-07</t>
  </si>
  <si>
    <t>Ilha Assistência</t>
  </si>
  <si>
    <t>09-08</t>
  </si>
  <si>
    <t>Ilha Supervisão</t>
  </si>
  <si>
    <t>09-09</t>
  </si>
  <si>
    <t>Ilha Coordenação</t>
  </si>
  <si>
    <t>09-10</t>
  </si>
  <si>
    <t xml:space="preserve">Coordenador de Pós-Produção </t>
  </si>
  <si>
    <t>09-11</t>
  </si>
  <si>
    <t>Gerenciamento de Dados</t>
  </si>
  <si>
    <t>10 - EXTRAS</t>
  </si>
  <si>
    <t>10-01</t>
  </si>
  <si>
    <t>Internet Dedicada</t>
  </si>
  <si>
    <t>10-02</t>
  </si>
  <si>
    <t>Internet Dedicada Backup</t>
  </si>
  <si>
    <t>10-03</t>
  </si>
  <si>
    <t>Direção Post</t>
  </si>
  <si>
    <t>10-04</t>
  </si>
  <si>
    <t>Post Manager</t>
  </si>
  <si>
    <t>10-05</t>
  </si>
  <si>
    <t>Post Coordenador Técnico</t>
  </si>
  <si>
    <t>10-06</t>
  </si>
  <si>
    <t>Fitas LTO9</t>
  </si>
  <si>
    <t>10-07</t>
  </si>
  <si>
    <t>Softwares/Licenças</t>
  </si>
  <si>
    <t>10-08</t>
  </si>
  <si>
    <t>Pre mix Musica</t>
  </si>
  <si>
    <t>hora</t>
  </si>
  <si>
    <t>10-09</t>
  </si>
  <si>
    <t xml:space="preserve">Mix Final </t>
  </si>
  <si>
    <t>11 - DELIVERIES DE ÁUDIO</t>
  </si>
  <si>
    <t>11-00</t>
  </si>
  <si>
    <t>5.1 Full mix</t>
  </si>
  <si>
    <t>unidade</t>
  </si>
  <si>
    <t>11-0.01</t>
  </si>
  <si>
    <t>2.0 Full mix</t>
  </si>
  <si>
    <t>11-01</t>
  </si>
  <si>
    <t>5.1 / M&amp;E</t>
  </si>
  <si>
    <t>11-02</t>
  </si>
  <si>
    <t>2.0 / M&amp;E</t>
  </si>
  <si>
    <t>11-03</t>
  </si>
  <si>
    <t>7.1 / M&amp;E</t>
  </si>
  <si>
    <t>11-04</t>
  </si>
  <si>
    <t xml:space="preserve">Dolby Atmos </t>
  </si>
  <si>
    <t>11-05</t>
  </si>
  <si>
    <t>Export Wip 2.0</t>
  </si>
  <si>
    <t>11-06</t>
  </si>
  <si>
    <t xml:space="preserve">Projeto de mixagem </t>
  </si>
  <si>
    <t>11-07</t>
  </si>
  <si>
    <t>Clean Dial</t>
  </si>
  <si>
    <t>Total Extras</t>
  </si>
  <si>
    <t>Sub-Total Post + Edit</t>
  </si>
  <si>
    <t>12 - INTERNAL QUALITY CONTROL</t>
  </si>
  <si>
    <t>12-01</t>
  </si>
  <si>
    <r>
      <rPr>
        <rFont val="Verdana"/>
        <color theme="1"/>
        <sz val="10.0"/>
      </rPr>
      <t xml:space="preserve">UHD </t>
    </r>
    <r>
      <rPr>
        <rFont val="Verdana"/>
        <b/>
        <color theme="1"/>
        <sz val="10.0"/>
      </rPr>
      <t>HDR</t>
    </r>
    <r>
      <rPr>
        <rFont val="Verdana"/>
        <color theme="1"/>
        <sz val="10.0"/>
      </rPr>
      <t xml:space="preserve"> Production Master - 100% 2 Pass QC - Video + 5.1, 2.0</t>
    </r>
  </si>
  <si>
    <t>Minutos</t>
  </si>
  <si>
    <t>12-02</t>
  </si>
  <si>
    <r>
      <rPr>
        <rFont val="Verdana"/>
        <color theme="1"/>
        <sz val="10.0"/>
      </rPr>
      <t xml:space="preserve">UHD </t>
    </r>
    <r>
      <rPr>
        <rFont val="Verdana"/>
        <b/>
        <color theme="1"/>
        <sz val="10.0"/>
      </rPr>
      <t>HDR</t>
    </r>
    <r>
      <rPr>
        <rFont val="Verdana"/>
        <color theme="1"/>
        <sz val="10.0"/>
      </rPr>
      <t xml:space="preserve"> Textless Master - 10% total time -  1 Pass QC - Video Only</t>
    </r>
  </si>
  <si>
    <t>12-03</t>
  </si>
  <si>
    <r>
      <rPr>
        <rFont val="Verdana"/>
        <color theme="1"/>
        <sz val="10.0"/>
      </rPr>
      <t xml:space="preserve">UHD </t>
    </r>
    <r>
      <rPr>
        <rFont val="Verdana"/>
        <b/>
        <color theme="1"/>
        <sz val="10.0"/>
      </rPr>
      <t>HDR</t>
    </r>
    <r>
      <rPr>
        <rFont val="Verdana"/>
        <color theme="1"/>
        <sz val="10.0"/>
      </rPr>
      <t xml:space="preserve"> Production Master - 100% 2 Pass QC - Video + 5.1, 2.0</t>
    </r>
  </si>
  <si>
    <t>12-04</t>
  </si>
  <si>
    <r>
      <rPr>
        <rFont val="Verdana"/>
        <color theme="1"/>
        <sz val="10.0"/>
      </rPr>
      <t xml:space="preserve">UHD </t>
    </r>
    <r>
      <rPr>
        <rFont val="Verdana"/>
        <b/>
        <color theme="1"/>
        <sz val="10.0"/>
      </rPr>
      <t>HDR</t>
    </r>
    <r>
      <rPr>
        <rFont val="Verdana"/>
        <color theme="1"/>
        <sz val="10.0"/>
      </rPr>
      <t xml:space="preserve"> Textless Master - 10% total time -  1 Pass QC - Video Only</t>
    </r>
  </si>
  <si>
    <t>12-05</t>
  </si>
  <si>
    <r>
      <rPr>
        <rFont val="Verdana"/>
        <color theme="1"/>
      </rPr>
      <t xml:space="preserve">UHD </t>
    </r>
    <r>
      <rPr>
        <rFont val="Verdana"/>
        <b/>
        <color theme="1"/>
        <sz val="10.0"/>
      </rPr>
      <t>SDR</t>
    </r>
    <r>
      <rPr>
        <rFont val="Verdana"/>
        <color theme="1"/>
        <sz val="10.0"/>
      </rPr>
      <t xml:space="preserve"> Production Master - 100% 2 Pass QC - Video + 5.1, 2.0</t>
    </r>
  </si>
  <si>
    <t>12-06</t>
  </si>
  <si>
    <t>UHD SDR Textless Master - 10% total time -  1 Pass QC - Video Only</t>
  </si>
  <si>
    <t>12-07</t>
  </si>
  <si>
    <t>UHD SDR Production Master - 100% 2 Pass QC - Video + 5.1, 2.0</t>
  </si>
  <si>
    <t>12-08</t>
  </si>
  <si>
    <t>12-09</t>
  </si>
  <si>
    <t>HD SDR Production Master - 100% 1 Pass QC - Video + 5.1</t>
  </si>
  <si>
    <t>12-10</t>
  </si>
  <si>
    <t>HD SDR Textless Master - 10% total time -  1 Pass QC - Video Only</t>
  </si>
  <si>
    <t>Sub-Total Post + Edit + QC</t>
  </si>
  <si>
    <t>Impostos</t>
  </si>
  <si>
    <t>Total</t>
  </si>
  <si>
    <t>Proposta de Fluxo de Pagamento</t>
  </si>
  <si>
    <t xml:space="preserve">parcela 1 </t>
  </si>
  <si>
    <t>parcela 2</t>
  </si>
  <si>
    <t>parcela 3</t>
  </si>
  <si>
    <t>parcela 4</t>
  </si>
  <si>
    <t>parcela 5</t>
  </si>
  <si>
    <t>parcela 6</t>
  </si>
  <si>
    <t>parcela 7</t>
  </si>
  <si>
    <t>parcela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</si>
</sst>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]#,##0.00"/>
    <numFmt numFmtId="165" formatCode="dd/mm/yy"/>
    <numFmt numFmtId="166" formatCode="0.0"/>
    <numFmt numFmtId="167" formatCode="_([$R$ -416]* #,##0.00_);_([$R$ -416]* \(#,##0.00\);_([$R$ -416]* &quot;-&quot;??_);_(@_)"/>
    <numFmt numFmtId="168" formatCode="_(* #,##0.00_);_(* \(#,##0.00\);_(* &quot;-&quot;??_);_(@_)"/>
    <numFmt numFmtId="169" formatCode="m/d/yyyy"/>
  </numFmts>
  <fonts count="15">
    <font>
      <sz val="10.0"/>
      <color rgb="FF000000"/>
      <name val="Arial"/>
      <scheme val="minor"/>
    </font>
    <font>
      <sz val="11.0"/>
      <color theme="1"/>
      <name val="Verdana"/>
    </font>
    <font>
      <b/>
      <sz val="11.0"/>
      <color rgb="FFFFFFFF"/>
      <name val="Open Sans"/>
    </font>
    <font/>
    <font>
      <b/>
      <sz val="11.0"/>
      <color rgb="FF434343"/>
      <name val="Open Sans"/>
    </font>
    <font>
      <sz val="11.0"/>
      <color rgb="FF434343"/>
      <name val="Open Sans"/>
    </font>
    <font>
      <b/>
      <sz val="11.0"/>
      <color rgb="FF0000FF"/>
      <name val="Open Sans"/>
    </font>
    <font>
      <b/>
      <sz val="11.0"/>
      <color rgb="FFFF0000"/>
      <name val="Open Sans"/>
    </font>
    <font>
      <b/>
      <color theme="1"/>
      <name val="Verdana"/>
    </font>
    <font>
      <color theme="1"/>
      <name val="Verdana"/>
    </font>
    <font>
      <b/>
      <sz val="9.0"/>
      <color theme="1"/>
      <name val="Open Sans"/>
    </font>
    <font>
      <sz val="11.0"/>
      <color rgb="FFFFFFFF"/>
      <name val="Open Sans"/>
    </font>
    <font>
      <sz val="11.0"/>
      <color rgb="FF094600"/>
      <name val="Open Sans"/>
    </font>
    <font>
      <sz val="11.0"/>
      <color theme="1"/>
      <name val="Open Sans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F8155"/>
        <bgColor rgb="FF3F8155"/>
      </patternFill>
    </fill>
    <fill>
      <patternFill patternType="solid">
        <fgColor rgb="FFFFFFFF"/>
        <bgColor rgb="FFFFFFFF"/>
      </patternFill>
    </fill>
    <fill>
      <patternFill patternType="solid">
        <fgColor rgb="FF52B177"/>
        <bgColor rgb="FF52B177"/>
      </patternFill>
    </fill>
    <fill>
      <patternFill patternType="solid">
        <fgColor rgb="FFD9D9D9"/>
        <bgColor rgb="FFD9D9D9"/>
      </patternFill>
    </fill>
    <fill>
      <patternFill patternType="solid">
        <fgColor rgb="FF499664"/>
        <bgColor rgb="FF499664"/>
      </patternFill>
    </fill>
    <fill>
      <patternFill patternType="solid">
        <fgColor rgb="FF60CB88"/>
        <bgColor rgb="FF60CB88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434343"/>
      </bottom>
    </border>
    <border>
      <left/>
      <top/>
      <bottom style="thin">
        <color rgb="FF434343"/>
      </bottom>
    </border>
    <border>
      <top/>
      <bottom style="thin">
        <color rgb="FF434343"/>
      </bottom>
    </border>
    <border>
      <right/>
      <top/>
      <bottom style="thin">
        <color rgb="FF434343"/>
      </bottom>
    </border>
    <border>
      <left/>
      <right/>
      <top style="thin">
        <color rgb="FF434343"/>
      </top>
      <bottom style="thin">
        <color rgb="FF434343"/>
      </bottom>
    </border>
    <border>
      <left/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/>
      <top style="thin">
        <color rgb="FF434343"/>
      </top>
      <bottom style="thin">
        <color rgb="FF434343"/>
      </bottom>
    </border>
    <border>
      <left/>
      <right/>
      <top/>
      <bottom/>
    </border>
    <border>
      <bottom style="thin">
        <color rgb="FF434343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434343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Font="1" applyNumberFormat="1"/>
    <xf borderId="1" fillId="2" fontId="2" numFmtId="49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49" xfId="0" applyAlignment="1" applyBorder="1" applyFill="1" applyFont="1" applyNumberFormat="1">
      <alignment vertical="bottom"/>
    </xf>
    <xf borderId="5" fillId="3" fontId="5" numFmtId="165" xfId="0" applyAlignment="1" applyBorder="1" applyFont="1" applyNumberFormat="1">
      <alignment vertical="bottom"/>
    </xf>
    <xf borderId="6" fillId="0" fontId="3" numFmtId="0" xfId="0" applyBorder="1" applyFont="1"/>
    <xf borderId="7" fillId="0" fontId="3" numFmtId="0" xfId="0" applyBorder="1" applyFont="1"/>
    <xf borderId="4" fillId="3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4" fillId="3" fontId="1" numFmtId="164" xfId="0" applyBorder="1" applyFont="1" applyNumberFormat="1"/>
    <xf borderId="8" fillId="3" fontId="4" numFmtId="49" xfId="0" applyAlignment="1" applyBorder="1" applyFont="1" applyNumberFormat="1">
      <alignment vertical="bottom"/>
    </xf>
    <xf borderId="9" fillId="3" fontId="5" numFmtId="0" xfId="0" applyAlignment="1" applyBorder="1" applyFont="1">
      <alignment vertical="bottom"/>
    </xf>
    <xf borderId="10" fillId="0" fontId="3" numFmtId="0" xfId="0" applyBorder="1" applyFont="1"/>
    <xf borderId="11" fillId="0" fontId="3" numFmtId="0" xfId="0" applyBorder="1" applyFont="1"/>
    <xf borderId="8" fillId="3" fontId="1" numFmtId="0" xfId="0" applyAlignment="1" applyBorder="1" applyFont="1">
      <alignment vertical="bottom"/>
    </xf>
    <xf borderId="9" fillId="3" fontId="4" numFmtId="0" xfId="0" applyAlignment="1" applyBorder="1" applyFont="1">
      <alignment horizontal="right" vertical="bottom"/>
    </xf>
    <xf borderId="8" fillId="3" fontId="5" numFmtId="0" xfId="0" applyAlignment="1" applyBorder="1" applyFont="1">
      <alignment vertical="bottom"/>
    </xf>
    <xf borderId="8" fillId="3" fontId="1" numFmtId="164" xfId="0" applyBorder="1" applyFont="1" applyNumberFormat="1"/>
    <xf borderId="10" fillId="0" fontId="6" numFmtId="0" xfId="0" applyAlignment="1" applyBorder="1" applyFont="1">
      <alignment vertical="bottom"/>
    </xf>
    <xf borderId="8" fillId="3" fontId="7" numFmtId="0" xfId="0" applyAlignment="1" applyBorder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2" xfId="0" applyAlignment="1" applyFont="1" applyNumberFormat="1">
      <alignment horizontal="right" vertical="bottom"/>
    </xf>
    <xf borderId="0" fillId="0" fontId="9" numFmtId="166" xfId="0" applyAlignment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12" fillId="4" fontId="10" numFmtId="49" xfId="0" applyAlignment="1" applyBorder="1" applyFill="1" applyFont="1" applyNumberFormat="1">
      <alignment horizontal="center"/>
    </xf>
    <xf borderId="12" fillId="4" fontId="1" numFmtId="0" xfId="0" applyBorder="1" applyFont="1"/>
    <xf borderId="12" fillId="4" fontId="10" numFmtId="0" xfId="0" applyAlignment="1" applyBorder="1" applyFont="1">
      <alignment horizontal="center"/>
    </xf>
    <xf borderId="12" fillId="4" fontId="1" numFmtId="164" xfId="0" applyBorder="1" applyFont="1" applyNumberFormat="1"/>
    <xf borderId="12" fillId="4" fontId="10" numFmtId="164" xfId="0" applyAlignment="1" applyBorder="1" applyFont="1" applyNumberFormat="1">
      <alignment horizontal="center"/>
    </xf>
    <xf borderId="12" fillId="2" fontId="2" numFmtId="49" xfId="0" applyAlignment="1" applyBorder="1" applyFont="1" applyNumberFormat="1">
      <alignment vertical="bottom"/>
    </xf>
    <xf borderId="12" fillId="2" fontId="1" numFmtId="0" xfId="0" applyAlignment="1" applyBorder="1" applyFont="1">
      <alignment vertical="bottom"/>
    </xf>
    <xf borderId="12" fillId="2" fontId="11" numFmtId="0" xfId="0" applyAlignment="1" applyBorder="1" applyFont="1">
      <alignment horizontal="right" vertical="bottom"/>
    </xf>
    <xf borderId="12" fillId="2" fontId="1" numFmtId="167" xfId="0" applyBorder="1" applyFont="1" applyNumberFormat="1"/>
    <xf borderId="12" fillId="2" fontId="2" numFmtId="167" xfId="0" applyAlignment="1" applyBorder="1" applyFont="1" applyNumberFormat="1">
      <alignment horizontal="right"/>
    </xf>
    <xf borderId="13" fillId="0" fontId="5" numFmtId="49" xfId="0" applyAlignment="1" applyBorder="1" applyFont="1" applyNumberFormat="1">
      <alignment horizontal="center" vertical="bottom"/>
    </xf>
    <xf borderId="13" fillId="0" fontId="5" numFmtId="0" xfId="0" applyAlignment="1" applyBorder="1" applyFont="1">
      <alignment vertical="bottom"/>
    </xf>
    <xf borderId="13" fillId="0" fontId="3" numFmtId="0" xfId="0" applyBorder="1" applyFont="1"/>
    <xf borderId="14" fillId="5" fontId="12" numFmtId="0" xfId="0" applyAlignment="1" applyBorder="1" applyFill="1" applyFont="1">
      <alignment horizontal="center" vertical="bottom"/>
    </xf>
    <xf borderId="14" fillId="0" fontId="5" numFmtId="2" xfId="0" applyAlignment="1" applyBorder="1" applyFont="1" applyNumberFormat="1">
      <alignment horizontal="center" vertical="bottom"/>
    </xf>
    <xf borderId="13" fillId="0" fontId="5" numFmtId="0" xfId="0" applyAlignment="1" applyBorder="1" applyFont="1">
      <alignment horizontal="center" vertical="bottom"/>
    </xf>
    <xf borderId="13" fillId="0" fontId="5" numFmtId="167" xfId="0" applyAlignment="1" applyBorder="1" applyFont="1" applyNumberFormat="1">
      <alignment horizontal="right" vertical="bottom"/>
    </xf>
    <xf borderId="13" fillId="0" fontId="5" numFmtId="9" xfId="0" applyAlignment="1" applyBorder="1" applyFont="1" applyNumberFormat="1">
      <alignment horizontal="right"/>
    </xf>
    <xf borderId="13" fillId="0" fontId="5" numFmtId="167" xfId="0" applyAlignment="1" applyBorder="1" applyFont="1" applyNumberFormat="1">
      <alignment horizontal="right"/>
    </xf>
    <xf borderId="14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0" fillId="0" fontId="5" numFmtId="167" xfId="0" applyAlignment="1" applyBorder="1" applyFont="1" applyNumberFormat="1">
      <alignment horizontal="right" vertical="bottom"/>
    </xf>
    <xf borderId="10" fillId="0" fontId="5" numFmtId="2" xfId="0" applyAlignment="1" applyBorder="1" applyFont="1" applyNumberFormat="1">
      <alignment horizontal="center" vertical="bottom"/>
    </xf>
    <xf borderId="10" fillId="0" fontId="5" numFmtId="1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vertical="bottom"/>
    </xf>
    <xf borderId="0" fillId="0" fontId="1" numFmtId="167" xfId="0" applyFont="1" applyNumberFormat="1"/>
    <xf borderId="10" fillId="0" fontId="5" numFmtId="49" xfId="0" applyAlignment="1" applyBorder="1" applyFont="1" applyNumberFormat="1">
      <alignment horizontal="center" vertical="bottom"/>
    </xf>
    <xf borderId="10" fillId="0" fontId="5" numFmtId="167" xfId="0" applyAlignment="1" applyBorder="1" applyFont="1" applyNumberFormat="1">
      <alignment horizontal="right"/>
    </xf>
    <xf borderId="14" fillId="0" fontId="1" numFmtId="0" xfId="0" applyAlignment="1" applyBorder="1" applyFont="1">
      <alignment vertical="bottom"/>
    </xf>
    <xf borderId="13" fillId="0" fontId="13" numFmtId="0" xfId="0" applyAlignment="1" applyBorder="1" applyFont="1">
      <alignment horizontal="center" vertical="bottom"/>
    </xf>
    <xf borderId="13" fillId="0" fontId="13" numFmtId="167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5" fillId="0" fontId="5" numFmtId="0" xfId="0" applyAlignment="1" applyBorder="1" applyFont="1">
      <alignment horizontal="center" vertical="bottom"/>
    </xf>
    <xf borderId="10" fillId="0" fontId="5" numFmtId="9" xfId="0" applyAlignment="1" applyBorder="1" applyFont="1" applyNumberFormat="1">
      <alignment horizontal="right" vertical="bottom"/>
    </xf>
    <xf borderId="14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6" fillId="0" fontId="5" numFmtId="167" xfId="0" applyAlignment="1" applyBorder="1" applyFont="1" applyNumberFormat="1">
      <alignment horizontal="right" vertical="bottom"/>
    </xf>
    <xf borderId="17" fillId="0" fontId="5" numFmtId="0" xfId="0" applyAlignment="1" applyBorder="1" applyFont="1">
      <alignment horizontal="center" vertical="bottom"/>
    </xf>
    <xf borderId="17" fillId="0" fontId="5" numFmtId="167" xfId="0" applyAlignment="1" applyBorder="1" applyFont="1" applyNumberFormat="1">
      <alignment horizontal="right" vertical="bottom"/>
    </xf>
    <xf borderId="13" fillId="0" fontId="1" numFmtId="49" xfId="0" applyAlignment="1" applyBorder="1" applyFont="1" applyNumberFormat="1">
      <alignment vertical="bottom"/>
    </xf>
    <xf borderId="12" fillId="2" fontId="11" numFmtId="0" xfId="0" applyAlignment="1" applyBorder="1" applyFont="1">
      <alignment vertical="bottom"/>
    </xf>
    <xf borderId="18" fillId="0" fontId="3" numFmtId="0" xfId="0" applyBorder="1" applyFont="1"/>
    <xf borderId="19" fillId="0" fontId="5" numFmtId="0" xfId="0" applyAlignment="1" applyBorder="1" applyFont="1">
      <alignment horizontal="center" vertical="bottom"/>
    </xf>
    <xf borderId="12" fillId="6" fontId="2" numFmtId="49" xfId="0" applyAlignment="1" applyBorder="1" applyFill="1" applyFont="1" applyNumberFormat="1">
      <alignment vertical="bottom"/>
    </xf>
    <xf borderId="12" fillId="6" fontId="1" numFmtId="0" xfId="0" applyAlignment="1" applyBorder="1" applyFont="1">
      <alignment vertical="bottom"/>
    </xf>
    <xf borderId="12" fillId="6" fontId="1" numFmtId="167" xfId="0" applyBorder="1" applyFont="1" applyNumberFormat="1"/>
    <xf borderId="12" fillId="6" fontId="2" numFmtId="167" xfId="0" applyAlignment="1" applyBorder="1" applyFont="1" applyNumberFormat="1">
      <alignment horizontal="right"/>
    </xf>
    <xf borderId="16" fillId="0" fontId="9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2" fillId="6" fontId="2" numFmtId="10" xfId="0" applyAlignment="1" applyBorder="1" applyFont="1" applyNumberFormat="1">
      <alignment vertical="bottom"/>
    </xf>
    <xf borderId="12" fillId="6" fontId="1" numFmtId="49" xfId="0" applyAlignment="1" applyBorder="1" applyFont="1" applyNumberFormat="1">
      <alignment vertical="bottom"/>
    </xf>
    <xf borderId="1" fillId="7" fontId="8" numFmtId="0" xfId="0" applyAlignment="1" applyBorder="1" applyFill="1" applyFont="1">
      <alignment vertical="bottom"/>
    </xf>
    <xf borderId="0" fillId="0" fontId="1" numFmtId="168" xfId="0" applyAlignment="1" applyFont="1" applyNumberForma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9" numFmtId="168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center"/>
    </xf>
    <xf borderId="0" fillId="0" fontId="1" numFmtId="169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3"/>
    </row>
    <row r="2">
      <c r="A2" s="1"/>
      <c r="B2" s="2"/>
      <c r="C2" s="2"/>
      <c r="D2" s="2"/>
      <c r="E2" s="2"/>
      <c r="F2" s="2"/>
      <c r="G2" s="2"/>
      <c r="H2" s="2"/>
      <c r="I2" s="2"/>
      <c r="J2" s="3"/>
      <c r="K2" s="3"/>
    </row>
    <row r="3">
      <c r="A3" s="1"/>
      <c r="B3" s="2"/>
      <c r="C3" s="2"/>
      <c r="D3" s="2"/>
      <c r="E3" s="2"/>
      <c r="F3" s="2"/>
      <c r="G3" s="2"/>
      <c r="H3" s="2"/>
      <c r="I3" s="2"/>
      <c r="J3" s="3"/>
      <c r="K3" s="3"/>
    </row>
    <row r="4">
      <c r="A4" s="1"/>
      <c r="B4" s="2"/>
      <c r="C4" s="2"/>
      <c r="D4" s="2"/>
      <c r="E4" s="2"/>
      <c r="F4" s="2"/>
      <c r="G4" s="2"/>
      <c r="H4" s="2"/>
      <c r="I4" s="2"/>
      <c r="J4" s="3"/>
      <c r="K4" s="3"/>
    </row>
    <row r="5">
      <c r="A5" s="1"/>
      <c r="B5" s="2"/>
      <c r="C5" s="2"/>
      <c r="D5" s="2"/>
      <c r="E5" s="2"/>
      <c r="F5" s="2"/>
      <c r="G5" s="2"/>
      <c r="H5" s="2"/>
      <c r="I5" s="2"/>
      <c r="J5" s="3"/>
      <c r="K5" s="3"/>
    </row>
    <row r="6">
      <c r="A6" s="1"/>
      <c r="B6" s="2"/>
      <c r="C6" s="2"/>
      <c r="D6" s="2"/>
      <c r="E6" s="2"/>
      <c r="F6" s="2"/>
      <c r="G6" s="2"/>
      <c r="H6" s="2"/>
      <c r="I6" s="2"/>
      <c r="J6" s="3"/>
      <c r="K6" s="3"/>
    </row>
    <row r="7">
      <c r="A7" s="1"/>
      <c r="B7" s="2"/>
      <c r="C7" s="2"/>
      <c r="D7" s="2"/>
      <c r="E7" s="2"/>
      <c r="F7" s="2"/>
      <c r="G7" s="2"/>
      <c r="H7" s="2"/>
      <c r="I7" s="2"/>
      <c r="J7" s="3"/>
      <c r="K7" s="3"/>
    </row>
    <row r="8">
      <c r="A8" s="1"/>
      <c r="B8" s="2"/>
      <c r="C8" s="2"/>
      <c r="D8" s="2"/>
      <c r="E8" s="2"/>
      <c r="F8" s="2"/>
      <c r="G8" s="2"/>
      <c r="H8" s="2"/>
      <c r="I8" s="2"/>
      <c r="J8" s="3"/>
      <c r="K8" s="3"/>
    </row>
    <row r="9">
      <c r="A9" s="1"/>
      <c r="B9" s="2"/>
      <c r="C9" s="2"/>
      <c r="D9" s="2"/>
      <c r="E9" s="2"/>
      <c r="F9" s="2"/>
      <c r="G9" s="2"/>
      <c r="H9" s="2"/>
      <c r="I9" s="2"/>
      <c r="J9" s="3"/>
      <c r="K9" s="3"/>
    </row>
    <row r="10">
      <c r="A10" s="1"/>
      <c r="B10" s="2"/>
      <c r="C10" s="2"/>
      <c r="D10" s="2"/>
      <c r="E10" s="2"/>
      <c r="F10" s="2"/>
      <c r="G10" s="2"/>
      <c r="H10" s="2"/>
      <c r="I10" s="2"/>
      <c r="J10" s="3"/>
      <c r="K10" s="3"/>
    </row>
    <row r="11">
      <c r="A11" s="1"/>
      <c r="B11" s="2"/>
      <c r="C11" s="2"/>
      <c r="D11" s="2"/>
      <c r="E11" s="2"/>
      <c r="F11" s="2"/>
      <c r="G11" s="2"/>
      <c r="H11" s="2"/>
      <c r="I11" s="2"/>
      <c r="J11" s="3"/>
      <c r="K11" s="3"/>
    </row>
    <row r="12">
      <c r="A12" s="4" t="s">
        <v>0</v>
      </c>
      <c r="B12" s="5"/>
      <c r="C12" s="5"/>
      <c r="D12" s="5"/>
      <c r="E12" s="5"/>
      <c r="F12" s="5"/>
      <c r="G12" s="5"/>
      <c r="H12" s="5"/>
      <c r="I12" s="5"/>
      <c r="J12" s="5"/>
      <c r="K12" s="6"/>
    </row>
    <row r="13">
      <c r="A13" s="7" t="s">
        <v>1</v>
      </c>
      <c r="B13" s="8">
        <f>TODAY()</f>
        <v>45769</v>
      </c>
      <c r="C13" s="9"/>
      <c r="D13" s="10"/>
      <c r="E13" s="11"/>
      <c r="F13" s="11"/>
      <c r="G13" s="12"/>
      <c r="H13" s="10"/>
      <c r="I13" s="11"/>
      <c r="J13" s="13"/>
      <c r="K13" s="13"/>
    </row>
    <row r="14">
      <c r="A14" s="14" t="s">
        <v>2</v>
      </c>
      <c r="B14" s="15" t="s">
        <v>3</v>
      </c>
      <c r="C14" s="16"/>
      <c r="D14" s="17"/>
      <c r="E14" s="18"/>
      <c r="F14" s="18"/>
      <c r="G14" s="19" t="s">
        <v>4</v>
      </c>
      <c r="H14" s="17"/>
      <c r="I14" s="20">
        <v>8.0</v>
      </c>
      <c r="J14" s="21"/>
      <c r="K14" s="21"/>
    </row>
    <row r="15">
      <c r="A15" s="14" t="s">
        <v>5</v>
      </c>
      <c r="B15" s="15" t="s">
        <v>6</v>
      </c>
      <c r="C15" s="16"/>
      <c r="D15" s="17"/>
      <c r="E15" s="18"/>
      <c r="F15" s="20" t="s">
        <v>7</v>
      </c>
      <c r="G15" s="19" t="s">
        <v>8</v>
      </c>
      <c r="H15" s="17"/>
      <c r="I15" s="20">
        <v>45.0</v>
      </c>
      <c r="J15" s="21"/>
      <c r="K15" s="21"/>
    </row>
    <row r="16">
      <c r="A16" s="14" t="s">
        <v>9</v>
      </c>
      <c r="B16" s="15" t="s">
        <v>10</v>
      </c>
      <c r="C16" s="16"/>
      <c r="D16" s="17"/>
      <c r="E16" s="18"/>
      <c r="F16" s="18"/>
      <c r="G16" s="19" t="s">
        <v>11</v>
      </c>
      <c r="H16" s="17"/>
      <c r="I16" s="20">
        <v>1.0</v>
      </c>
      <c r="J16" s="21"/>
      <c r="K16" s="21"/>
    </row>
    <row r="17">
      <c r="A17" s="14" t="s">
        <v>12</v>
      </c>
      <c r="B17" s="22" t="s">
        <v>13</v>
      </c>
      <c r="C17" s="16"/>
      <c r="D17" s="16"/>
      <c r="E17" s="18"/>
      <c r="F17" s="18"/>
      <c r="G17" s="19" t="s">
        <v>14</v>
      </c>
      <c r="H17" s="17"/>
      <c r="I17" s="23" t="s">
        <v>15</v>
      </c>
      <c r="J17" s="21"/>
      <c r="K17" s="21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4" t="s">
        <v>16</v>
      </c>
      <c r="G19" s="24" t="s">
        <v>17</v>
      </c>
      <c r="H19" s="24" t="s">
        <v>18</v>
      </c>
      <c r="I19" s="24" t="s">
        <v>19</v>
      </c>
      <c r="J19" s="2"/>
      <c r="K19" s="2"/>
    </row>
    <row r="20">
      <c r="A20" s="2"/>
      <c r="B20" s="25" t="s">
        <v>20</v>
      </c>
      <c r="C20" s="2"/>
      <c r="D20" s="2"/>
      <c r="E20" s="2"/>
      <c r="F20" s="26" t="s">
        <v>21</v>
      </c>
      <c r="G20" s="2"/>
      <c r="H20" s="2"/>
      <c r="I20" s="2"/>
      <c r="J20" s="2"/>
      <c r="K20" s="2"/>
    </row>
    <row r="21">
      <c r="A21" s="2"/>
      <c r="B21" s="25" t="s">
        <v>22</v>
      </c>
      <c r="C21" s="2"/>
      <c r="D21" s="2"/>
      <c r="E21" s="2"/>
      <c r="F21" s="26" t="s">
        <v>23</v>
      </c>
      <c r="G21" s="2"/>
      <c r="H21" s="2"/>
      <c r="I21" s="2"/>
      <c r="J21" s="2"/>
      <c r="K21" s="2"/>
    </row>
    <row r="22">
      <c r="A22" s="2"/>
      <c r="B22" s="25" t="s">
        <v>24</v>
      </c>
      <c r="C22" s="2"/>
      <c r="D22" s="2"/>
      <c r="E22" s="2"/>
      <c r="F22" s="26" t="s">
        <v>25</v>
      </c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5" t="s">
        <v>26</v>
      </c>
      <c r="C24" s="2"/>
      <c r="D24" s="2"/>
      <c r="E24" s="2"/>
      <c r="F24" s="24">
        <v>0.0</v>
      </c>
      <c r="G24" s="24">
        <v>0.0</v>
      </c>
      <c r="H24" s="24">
        <v>0.0</v>
      </c>
      <c r="I24" s="24">
        <v>0.0</v>
      </c>
      <c r="J24" s="2"/>
      <c r="K24" s="27" t="s">
        <v>27</v>
      </c>
    </row>
    <row r="25">
      <c r="A25" s="2"/>
      <c r="B25" s="25" t="s">
        <v>28</v>
      </c>
      <c r="C25" s="2"/>
      <c r="D25" s="2"/>
      <c r="E25" s="2"/>
      <c r="F25" s="24">
        <v>0.0</v>
      </c>
      <c r="G25" s="24">
        <v>0.0</v>
      </c>
      <c r="H25" s="24">
        <v>0.0</v>
      </c>
      <c r="I25" s="24">
        <v>0.0</v>
      </c>
      <c r="J25" s="2"/>
      <c r="K25" s="27" t="s">
        <v>29</v>
      </c>
    </row>
    <row r="26">
      <c r="A26" s="2"/>
      <c r="B26" s="25" t="s">
        <v>30</v>
      </c>
      <c r="C26" s="2"/>
      <c r="D26" s="2"/>
      <c r="E26" s="2"/>
      <c r="F26" s="24">
        <v>0.0</v>
      </c>
      <c r="G26" s="24">
        <v>0.0</v>
      </c>
      <c r="H26" s="24">
        <v>0.0</v>
      </c>
      <c r="I26" s="24">
        <v>0.0</v>
      </c>
      <c r="J26" s="2"/>
      <c r="K26" s="27" t="s">
        <v>31</v>
      </c>
    </row>
    <row r="27">
      <c r="A27" s="2"/>
      <c r="B27" s="25" t="s">
        <v>32</v>
      </c>
      <c r="C27" s="2"/>
      <c r="D27" s="2"/>
      <c r="E27" s="2"/>
      <c r="F27" s="24">
        <v>0.0</v>
      </c>
      <c r="G27" s="24">
        <v>0.0</v>
      </c>
      <c r="H27" s="24">
        <v>0.0</v>
      </c>
      <c r="I27" s="24">
        <v>0.0</v>
      </c>
      <c r="J27" s="2"/>
      <c r="K27" s="2"/>
    </row>
    <row r="28">
      <c r="A28" s="2"/>
      <c r="B28" s="25" t="s">
        <v>33</v>
      </c>
      <c r="C28" s="2"/>
      <c r="D28" s="2"/>
      <c r="E28" s="2"/>
      <c r="F28" s="24">
        <f t="shared" ref="F28:I28" si="1">SUM(F27*F25*F24)</f>
        <v>0</v>
      </c>
      <c r="G28" s="24">
        <f t="shared" si="1"/>
        <v>0</v>
      </c>
      <c r="H28" s="24">
        <f t="shared" si="1"/>
        <v>0</v>
      </c>
      <c r="I28" s="24">
        <f t="shared" si="1"/>
        <v>0</v>
      </c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7" t="s">
        <v>34</v>
      </c>
      <c r="C30" s="2"/>
      <c r="D30" s="2"/>
      <c r="E30" s="2"/>
      <c r="F30" s="28">
        <f>SUM(F28+G28+H28+I28)</f>
        <v>0</v>
      </c>
      <c r="G30" s="2"/>
      <c r="H30" s="2"/>
      <c r="I30" s="2"/>
      <c r="J30" s="2"/>
      <c r="K30" s="2"/>
    </row>
    <row r="31">
      <c r="A31" s="2"/>
      <c r="B31" s="27" t="s">
        <v>35</v>
      </c>
      <c r="C31" s="2"/>
      <c r="D31" s="2"/>
      <c r="E31" s="2"/>
      <c r="F31" s="28">
        <f>(F28*F26)+(G28*G26)+(H28*H26)+(I28*I26)/1000</f>
        <v>0</v>
      </c>
      <c r="G31" s="27" t="s">
        <v>36</v>
      </c>
      <c r="H31" s="2"/>
      <c r="I31" s="2"/>
      <c r="J31" s="2"/>
      <c r="K31" s="2"/>
    </row>
    <row r="32">
      <c r="A32" s="2"/>
      <c r="B32" s="27" t="s">
        <v>37</v>
      </c>
      <c r="C32" s="2"/>
      <c r="D32" s="2"/>
      <c r="E32" s="2"/>
      <c r="F32" s="29">
        <f>F31/18000</f>
        <v>0</v>
      </c>
      <c r="G32" s="27" t="s">
        <v>38</v>
      </c>
      <c r="H32" s="2"/>
      <c r="I32" s="2"/>
      <c r="J32" s="2"/>
      <c r="K32" s="2"/>
    </row>
    <row r="33">
      <c r="A33" s="2"/>
      <c r="B33" s="27" t="s">
        <v>39</v>
      </c>
      <c r="C33" s="2"/>
      <c r="D33" s="2"/>
      <c r="E33" s="2"/>
      <c r="F33" s="30">
        <f>(F30*19)/500</f>
        <v>0</v>
      </c>
      <c r="G33" s="27" t="s">
        <v>36</v>
      </c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3"/>
      <c r="K36" s="3"/>
    </row>
    <row r="37">
      <c r="A37" s="31" t="s">
        <v>40</v>
      </c>
      <c r="B37" s="32"/>
      <c r="C37" s="32"/>
      <c r="D37" s="32"/>
      <c r="E37" s="33" t="s">
        <v>41</v>
      </c>
      <c r="F37" s="33" t="s">
        <v>42</v>
      </c>
      <c r="G37" s="33" t="s">
        <v>43</v>
      </c>
      <c r="H37" s="33" t="s">
        <v>44</v>
      </c>
      <c r="I37" s="33" t="s">
        <v>45</v>
      </c>
      <c r="J37" s="34"/>
      <c r="K37" s="35" t="s">
        <v>46</v>
      </c>
    </row>
    <row r="38">
      <c r="A38" s="36" t="s">
        <v>47</v>
      </c>
      <c r="B38" s="37"/>
      <c r="C38" s="37"/>
      <c r="D38" s="37"/>
      <c r="E38" s="37"/>
      <c r="F38" s="37"/>
      <c r="G38" s="37"/>
      <c r="H38" s="37"/>
      <c r="I38" s="38" t="s">
        <v>48</v>
      </c>
      <c r="J38" s="39"/>
      <c r="K38" s="40">
        <f>SUM(K39:K56)</f>
        <v>0</v>
      </c>
    </row>
    <row r="39">
      <c r="A39" s="41" t="s">
        <v>49</v>
      </c>
      <c r="B39" s="42" t="s">
        <v>50</v>
      </c>
      <c r="C39" s="43"/>
      <c r="D39" s="43"/>
      <c r="E39" s="43"/>
      <c r="F39" s="44">
        <v>1.0</v>
      </c>
      <c r="G39" s="45">
        <f t="shared" ref="G39:G42" si="2">$F$30</f>
        <v>0</v>
      </c>
      <c r="H39" s="46" t="s">
        <v>51</v>
      </c>
      <c r="I39" s="47">
        <v>40.0</v>
      </c>
      <c r="J39" s="48">
        <v>1.0</v>
      </c>
      <c r="K39" s="49">
        <f t="shared" ref="K39:K55" si="3">(F39*G39*I39)*J39</f>
        <v>0</v>
      </c>
    </row>
    <row r="40">
      <c r="A40" s="41" t="s">
        <v>52</v>
      </c>
      <c r="B40" s="42" t="s">
        <v>53</v>
      </c>
      <c r="C40" s="43"/>
      <c r="D40" s="43"/>
      <c r="E40" s="43"/>
      <c r="F40" s="50">
        <v>0.0</v>
      </c>
      <c r="G40" s="45">
        <f t="shared" si="2"/>
        <v>0</v>
      </c>
      <c r="H40" s="46" t="s">
        <v>51</v>
      </c>
      <c r="I40" s="47">
        <v>0.0</v>
      </c>
      <c r="J40" s="48">
        <v>1.0</v>
      </c>
      <c r="K40" s="49">
        <f t="shared" si="3"/>
        <v>0</v>
      </c>
    </row>
    <row r="41">
      <c r="A41" s="41" t="s">
        <v>54</v>
      </c>
      <c r="B41" s="42" t="s">
        <v>55</v>
      </c>
      <c r="C41" s="43"/>
      <c r="D41" s="43"/>
      <c r="E41" s="43"/>
      <c r="F41" s="50">
        <v>0.0</v>
      </c>
      <c r="G41" s="45">
        <f t="shared" si="2"/>
        <v>0</v>
      </c>
      <c r="H41" s="51" t="s">
        <v>51</v>
      </c>
      <c r="I41" s="52">
        <v>0.0</v>
      </c>
      <c r="J41" s="48">
        <v>1.0</v>
      </c>
      <c r="K41" s="49">
        <f t="shared" si="3"/>
        <v>0</v>
      </c>
    </row>
    <row r="42">
      <c r="A42" s="41" t="s">
        <v>56</v>
      </c>
      <c r="B42" s="42" t="s">
        <v>57</v>
      </c>
      <c r="C42" s="43"/>
      <c r="D42" s="43"/>
      <c r="E42" s="43"/>
      <c r="F42" s="50">
        <v>0.0</v>
      </c>
      <c r="G42" s="45">
        <f t="shared" si="2"/>
        <v>0</v>
      </c>
      <c r="H42" s="51" t="s">
        <v>51</v>
      </c>
      <c r="I42" s="52">
        <v>0.0</v>
      </c>
      <c r="J42" s="48">
        <v>1.0</v>
      </c>
      <c r="K42" s="49">
        <f t="shared" si="3"/>
        <v>0</v>
      </c>
    </row>
    <row r="43">
      <c r="A43" s="41" t="s">
        <v>58</v>
      </c>
      <c r="B43" s="42" t="s">
        <v>59</v>
      </c>
      <c r="C43" s="43"/>
      <c r="D43" s="43"/>
      <c r="E43" s="43"/>
      <c r="F43" s="50">
        <v>0.0</v>
      </c>
      <c r="G43" s="51">
        <v>0.0</v>
      </c>
      <c r="H43" s="51" t="s">
        <v>60</v>
      </c>
      <c r="I43" s="52">
        <v>0.0</v>
      </c>
      <c r="J43" s="48">
        <v>1.0</v>
      </c>
      <c r="K43" s="49">
        <f t="shared" si="3"/>
        <v>0</v>
      </c>
    </row>
    <row r="44">
      <c r="A44" s="41" t="s">
        <v>61</v>
      </c>
      <c r="B44" s="42" t="s">
        <v>62</v>
      </c>
      <c r="C44" s="43"/>
      <c r="D44" s="43"/>
      <c r="E44" s="43"/>
      <c r="F44" s="50">
        <v>0.0</v>
      </c>
      <c r="G44" s="50">
        <f>$F$30/10</f>
        <v>0</v>
      </c>
      <c r="H44" s="51" t="s">
        <v>51</v>
      </c>
      <c r="I44" s="52">
        <v>0.0</v>
      </c>
      <c r="J44" s="48">
        <v>1.0</v>
      </c>
      <c r="K44" s="49">
        <f t="shared" si="3"/>
        <v>0</v>
      </c>
    </row>
    <row r="45">
      <c r="A45" s="41" t="s">
        <v>63</v>
      </c>
      <c r="B45" s="42" t="s">
        <v>64</v>
      </c>
      <c r="C45" s="43"/>
      <c r="D45" s="43"/>
      <c r="E45" s="43"/>
      <c r="F45" s="50">
        <v>0.0</v>
      </c>
      <c r="G45" s="45">
        <f t="shared" ref="G45:G46" si="4">$F$30</f>
        <v>0</v>
      </c>
      <c r="H45" s="51" t="s">
        <v>51</v>
      </c>
      <c r="I45" s="52">
        <v>0.0</v>
      </c>
      <c r="J45" s="48">
        <v>1.0</v>
      </c>
      <c r="K45" s="49">
        <f t="shared" si="3"/>
        <v>0</v>
      </c>
    </row>
    <row r="46">
      <c r="A46" s="41" t="s">
        <v>65</v>
      </c>
      <c r="B46" s="42" t="s">
        <v>66</v>
      </c>
      <c r="C46" s="43"/>
      <c r="D46" s="43"/>
      <c r="E46" s="43"/>
      <c r="F46" s="50">
        <v>0.0</v>
      </c>
      <c r="G46" s="45">
        <f t="shared" si="4"/>
        <v>0</v>
      </c>
      <c r="H46" s="51" t="s">
        <v>51</v>
      </c>
      <c r="I46" s="52">
        <v>0.0</v>
      </c>
      <c r="J46" s="48">
        <v>1.0</v>
      </c>
      <c r="K46" s="49">
        <f t="shared" si="3"/>
        <v>0</v>
      </c>
    </row>
    <row r="47">
      <c r="A47" s="41" t="s">
        <v>67</v>
      </c>
      <c r="B47" s="42" t="s">
        <v>68</v>
      </c>
      <c r="C47" s="43"/>
      <c r="D47" s="43"/>
      <c r="E47" s="43"/>
      <c r="F47" s="50">
        <v>0.0</v>
      </c>
      <c r="G47" s="50">
        <v>10.0</v>
      </c>
      <c r="H47" s="51" t="s">
        <v>51</v>
      </c>
      <c r="I47" s="52">
        <v>0.0</v>
      </c>
      <c r="J47" s="48">
        <v>1.0</v>
      </c>
      <c r="K47" s="49">
        <f t="shared" si="3"/>
        <v>0</v>
      </c>
    </row>
    <row r="48">
      <c r="A48" s="41" t="s">
        <v>69</v>
      </c>
      <c r="B48" s="42" t="s">
        <v>70</v>
      </c>
      <c r="C48" s="43"/>
      <c r="D48" s="43"/>
      <c r="E48" s="43"/>
      <c r="F48" s="44">
        <v>1.0</v>
      </c>
      <c r="G48" s="45">
        <f>$F$30</f>
        <v>0</v>
      </c>
      <c r="H48" s="51" t="s">
        <v>51</v>
      </c>
      <c r="I48" s="52">
        <v>20.3</v>
      </c>
      <c r="J48" s="48">
        <v>1.0</v>
      </c>
      <c r="K48" s="49">
        <f t="shared" si="3"/>
        <v>0</v>
      </c>
    </row>
    <row r="49">
      <c r="A49" s="41" t="s">
        <v>71</v>
      </c>
      <c r="B49" s="42" t="s">
        <v>72</v>
      </c>
      <c r="C49" s="43"/>
      <c r="D49" s="43"/>
      <c r="E49" s="43"/>
      <c r="F49" s="50">
        <v>0.0</v>
      </c>
      <c r="G49" s="50">
        <f>$F$30/10</f>
        <v>0</v>
      </c>
      <c r="H49" s="51" t="s">
        <v>51</v>
      </c>
      <c r="I49" s="52">
        <v>0.0</v>
      </c>
      <c r="J49" s="48">
        <v>1.0</v>
      </c>
      <c r="K49" s="49">
        <f t="shared" si="3"/>
        <v>0</v>
      </c>
    </row>
    <row r="50">
      <c r="A50" s="41" t="s">
        <v>73</v>
      </c>
      <c r="B50" s="42" t="s">
        <v>74</v>
      </c>
      <c r="C50" s="43"/>
      <c r="D50" s="43"/>
      <c r="E50" s="43"/>
      <c r="F50" s="50">
        <v>0.0</v>
      </c>
      <c r="G50" s="53">
        <v>1.0</v>
      </c>
      <c r="H50" s="51" t="s">
        <v>75</v>
      </c>
      <c r="I50" s="52">
        <v>0.0</v>
      </c>
      <c r="J50" s="48">
        <v>1.0</v>
      </c>
      <c r="K50" s="49">
        <f t="shared" si="3"/>
        <v>0</v>
      </c>
    </row>
    <row r="51">
      <c r="A51" s="41" t="s">
        <v>76</v>
      </c>
      <c r="B51" s="42" t="s">
        <v>77</v>
      </c>
      <c r="C51" s="43"/>
      <c r="D51" s="43"/>
      <c r="E51" s="43"/>
      <c r="F51" s="50">
        <v>0.0</v>
      </c>
      <c r="G51" s="53">
        <v>1.0</v>
      </c>
      <c r="H51" s="51" t="s">
        <v>75</v>
      </c>
      <c r="I51" s="52">
        <v>0.0</v>
      </c>
      <c r="J51" s="48">
        <v>1.0</v>
      </c>
      <c r="K51" s="49">
        <f t="shared" si="3"/>
        <v>0</v>
      </c>
    </row>
    <row r="52">
      <c r="A52" s="41" t="s">
        <v>78</v>
      </c>
      <c r="B52" s="42" t="s">
        <v>79</v>
      </c>
      <c r="C52" s="43"/>
      <c r="D52" s="43"/>
      <c r="E52" s="43"/>
      <c r="F52" s="44">
        <v>1.0</v>
      </c>
      <c r="G52" s="53">
        <v>0.0</v>
      </c>
      <c r="H52" s="51" t="s">
        <v>38</v>
      </c>
      <c r="I52" s="52">
        <v>800.0</v>
      </c>
      <c r="J52" s="48">
        <v>1.0</v>
      </c>
      <c r="K52" s="49">
        <f t="shared" si="3"/>
        <v>0</v>
      </c>
    </row>
    <row r="53">
      <c r="A53" s="41" t="s">
        <v>80</v>
      </c>
      <c r="B53" s="42" t="s">
        <v>81</v>
      </c>
      <c r="C53" s="43"/>
      <c r="D53" s="43"/>
      <c r="E53" s="43"/>
      <c r="F53" s="50">
        <v>0.0</v>
      </c>
      <c r="G53" s="53">
        <v>1.0</v>
      </c>
      <c r="H53" s="51" t="s">
        <v>75</v>
      </c>
      <c r="I53" s="52">
        <v>0.0</v>
      </c>
      <c r="J53" s="48">
        <v>1.0</v>
      </c>
      <c r="K53" s="49">
        <f t="shared" si="3"/>
        <v>0</v>
      </c>
    </row>
    <row r="54">
      <c r="A54" s="41" t="s">
        <v>82</v>
      </c>
      <c r="B54" s="42" t="s">
        <v>83</v>
      </c>
      <c r="C54" s="43"/>
      <c r="D54" s="43"/>
      <c r="E54" s="43"/>
      <c r="F54" s="44">
        <v>1.0</v>
      </c>
      <c r="G54" s="53">
        <v>0.0</v>
      </c>
      <c r="H54" s="51" t="s">
        <v>84</v>
      </c>
      <c r="I54" s="52">
        <v>1000.0</v>
      </c>
      <c r="J54" s="48">
        <v>1.0</v>
      </c>
      <c r="K54" s="49">
        <f t="shared" si="3"/>
        <v>0</v>
      </c>
    </row>
    <row r="55">
      <c r="A55" s="41" t="s">
        <v>85</v>
      </c>
      <c r="B55" s="42" t="s">
        <v>86</v>
      </c>
      <c r="C55" s="43"/>
      <c r="D55" s="43"/>
      <c r="E55" s="43"/>
      <c r="F55" s="44">
        <v>1.0</v>
      </c>
      <c r="G55" s="54">
        <v>0.0</v>
      </c>
      <c r="H55" s="51" t="s">
        <v>84</v>
      </c>
      <c r="I55" s="52">
        <v>3500.0</v>
      </c>
      <c r="J55" s="48">
        <v>1.0</v>
      </c>
      <c r="K55" s="49">
        <f t="shared" si="3"/>
        <v>0</v>
      </c>
    </row>
    <row r="56">
      <c r="A56" s="1"/>
      <c r="B56" s="55"/>
      <c r="C56" s="43"/>
      <c r="D56" s="43"/>
      <c r="E56" s="43"/>
      <c r="F56" s="2"/>
      <c r="G56" s="2"/>
      <c r="H56" s="2"/>
      <c r="I56" s="2"/>
      <c r="J56" s="56"/>
      <c r="K56" s="56"/>
    </row>
    <row r="57">
      <c r="A57" s="36" t="s">
        <v>87</v>
      </c>
      <c r="B57" s="37"/>
      <c r="C57" s="37"/>
      <c r="D57" s="37"/>
      <c r="E57" s="37"/>
      <c r="F57" s="37"/>
      <c r="G57" s="37"/>
      <c r="H57" s="37"/>
      <c r="I57" s="38" t="s">
        <v>48</v>
      </c>
      <c r="J57" s="39"/>
      <c r="K57" s="40">
        <f>SUM(K58:K60)</f>
        <v>0</v>
      </c>
    </row>
    <row r="58">
      <c r="A58" s="41" t="s">
        <v>88</v>
      </c>
      <c r="B58" s="42" t="s">
        <v>89</v>
      </c>
      <c r="C58" s="43"/>
      <c r="D58" s="43"/>
      <c r="E58" s="43"/>
      <c r="F58" s="44">
        <v>1.0</v>
      </c>
      <c r="G58" s="46">
        <v>0.0</v>
      </c>
      <c r="H58" s="46" t="s">
        <v>84</v>
      </c>
      <c r="I58" s="47">
        <v>1500.0</v>
      </c>
      <c r="J58" s="48">
        <v>1.0</v>
      </c>
      <c r="K58" s="49">
        <f t="shared" ref="K58:K59" si="5">F58*G58*I58</f>
        <v>0</v>
      </c>
    </row>
    <row r="59">
      <c r="A59" s="57" t="s">
        <v>90</v>
      </c>
      <c r="B59" s="42" t="s">
        <v>91</v>
      </c>
      <c r="C59" s="43"/>
      <c r="D59" s="43"/>
      <c r="E59" s="43"/>
      <c r="F59" s="44">
        <v>1.0</v>
      </c>
      <c r="G59" s="51">
        <v>0.0</v>
      </c>
      <c r="H59" s="51" t="s">
        <v>92</v>
      </c>
      <c r="I59" s="52">
        <v>1000.0</v>
      </c>
      <c r="J59" s="48">
        <v>1.0</v>
      </c>
      <c r="K59" s="58">
        <f t="shared" si="5"/>
        <v>0</v>
      </c>
    </row>
    <row r="60">
      <c r="A60" s="1"/>
      <c r="B60" s="55"/>
      <c r="C60" s="43"/>
      <c r="D60" s="43"/>
      <c r="E60" s="43"/>
      <c r="F60" s="59"/>
      <c r="G60" s="2"/>
      <c r="H60" s="2"/>
      <c r="I60" s="2"/>
      <c r="J60" s="56"/>
      <c r="K60" s="56"/>
    </row>
    <row r="61">
      <c r="A61" s="36" t="s">
        <v>93</v>
      </c>
      <c r="B61" s="37"/>
      <c r="C61" s="37"/>
      <c r="D61" s="37"/>
      <c r="E61" s="37"/>
      <c r="F61" s="37"/>
      <c r="G61" s="37"/>
      <c r="H61" s="37"/>
      <c r="I61" s="38" t="s">
        <v>48</v>
      </c>
      <c r="J61" s="39"/>
      <c r="K61" s="40">
        <f>SUM(K62:K70)</f>
        <v>0</v>
      </c>
    </row>
    <row r="62">
      <c r="A62" s="41" t="s">
        <v>94</v>
      </c>
      <c r="B62" s="42" t="s">
        <v>95</v>
      </c>
      <c r="C62" s="43"/>
      <c r="D62" s="43"/>
      <c r="E62" s="43"/>
      <c r="F62" s="50">
        <v>0.0</v>
      </c>
      <c r="G62" s="46">
        <v>0.0</v>
      </c>
      <c r="H62" s="46" t="s">
        <v>96</v>
      </c>
      <c r="I62" s="47">
        <v>2500.0</v>
      </c>
      <c r="J62" s="48">
        <v>1.0</v>
      </c>
      <c r="K62" s="49">
        <f t="shared" ref="K62:K68" si="6">(F62*G62*I62)*J62</f>
        <v>0</v>
      </c>
    </row>
    <row r="63">
      <c r="A63" s="41" t="s">
        <v>97</v>
      </c>
      <c r="B63" s="42" t="s">
        <v>98</v>
      </c>
      <c r="C63" s="43"/>
      <c r="D63" s="43"/>
      <c r="E63" s="43"/>
      <c r="F63" s="44">
        <v>1.0</v>
      </c>
      <c r="G63" s="46">
        <v>0.0</v>
      </c>
      <c r="H63" s="46" t="s">
        <v>96</v>
      </c>
      <c r="I63" s="47">
        <v>4300.0</v>
      </c>
      <c r="J63" s="48">
        <v>1.0</v>
      </c>
      <c r="K63" s="49">
        <f t="shared" si="6"/>
        <v>0</v>
      </c>
    </row>
    <row r="64">
      <c r="A64" s="41" t="s">
        <v>99</v>
      </c>
      <c r="B64" s="42" t="s">
        <v>100</v>
      </c>
      <c r="C64" s="43"/>
      <c r="D64" s="43"/>
      <c r="E64" s="43"/>
      <c r="F64" s="44">
        <v>1.0</v>
      </c>
      <c r="G64" s="46">
        <v>0.0</v>
      </c>
      <c r="H64" s="46" t="s">
        <v>96</v>
      </c>
      <c r="I64" s="47">
        <v>4800.0</v>
      </c>
      <c r="J64" s="48">
        <v>1.0</v>
      </c>
      <c r="K64" s="49">
        <f t="shared" si="6"/>
        <v>0</v>
      </c>
    </row>
    <row r="65">
      <c r="A65" s="41" t="s">
        <v>101</v>
      </c>
      <c r="B65" s="42" t="s">
        <v>102</v>
      </c>
      <c r="C65" s="43"/>
      <c r="D65" s="43"/>
      <c r="E65" s="43"/>
      <c r="F65" s="50">
        <v>0.0</v>
      </c>
      <c r="G65" s="46">
        <v>0.0</v>
      </c>
      <c r="H65" s="46" t="s">
        <v>96</v>
      </c>
      <c r="I65" s="47">
        <v>2500.0</v>
      </c>
      <c r="J65" s="48">
        <v>1.0</v>
      </c>
      <c r="K65" s="49">
        <f t="shared" si="6"/>
        <v>0</v>
      </c>
    </row>
    <row r="66">
      <c r="A66" s="41" t="s">
        <v>103</v>
      </c>
      <c r="B66" s="42" t="s">
        <v>104</v>
      </c>
      <c r="C66" s="43"/>
      <c r="D66" s="43"/>
      <c r="E66" s="43"/>
      <c r="F66" s="44">
        <v>1.0</v>
      </c>
      <c r="G66" s="46">
        <v>0.0</v>
      </c>
      <c r="H66" s="46" t="s">
        <v>96</v>
      </c>
      <c r="I66" s="52">
        <v>3500.0</v>
      </c>
      <c r="J66" s="48">
        <v>1.0</v>
      </c>
      <c r="K66" s="49">
        <f t="shared" si="6"/>
        <v>0</v>
      </c>
    </row>
    <row r="67">
      <c r="A67" s="41" t="s">
        <v>105</v>
      </c>
      <c r="B67" s="42" t="s">
        <v>106</v>
      </c>
      <c r="C67" s="43"/>
      <c r="D67" s="43"/>
      <c r="E67" s="43"/>
      <c r="F67" s="50">
        <v>0.0</v>
      </c>
      <c r="G67" s="46">
        <v>0.0</v>
      </c>
      <c r="H67" s="46" t="s">
        <v>96</v>
      </c>
      <c r="I67" s="52">
        <v>1500.0</v>
      </c>
      <c r="J67" s="48">
        <v>1.0</v>
      </c>
      <c r="K67" s="49">
        <f t="shared" si="6"/>
        <v>0</v>
      </c>
    </row>
    <row r="68">
      <c r="A68" s="41" t="s">
        <v>107</v>
      </c>
      <c r="B68" s="42" t="s">
        <v>108</v>
      </c>
      <c r="C68" s="43"/>
      <c r="D68" s="43"/>
      <c r="E68" s="43"/>
      <c r="F68" s="50">
        <v>0.0</v>
      </c>
      <c r="G68" s="46">
        <v>0.0</v>
      </c>
      <c r="H68" s="46" t="s">
        <v>96</v>
      </c>
      <c r="I68" s="52">
        <v>1000.0</v>
      </c>
      <c r="J68" s="48">
        <v>1.0</v>
      </c>
      <c r="K68" s="49">
        <f t="shared" si="6"/>
        <v>0</v>
      </c>
    </row>
    <row r="69">
      <c r="A69" s="41" t="s">
        <v>109</v>
      </c>
      <c r="B69" s="42" t="s">
        <v>110</v>
      </c>
      <c r="C69" s="43"/>
      <c r="D69" s="43"/>
      <c r="E69" s="43"/>
      <c r="F69" s="46">
        <v>0.0</v>
      </c>
      <c r="G69" s="46">
        <v>0.0</v>
      </c>
      <c r="H69" s="46" t="s">
        <v>96</v>
      </c>
      <c r="I69" s="52">
        <v>1200.0</v>
      </c>
      <c r="J69" s="48">
        <v>1.0</v>
      </c>
      <c r="K69" s="58">
        <f>F69*G69*I69</f>
        <v>0</v>
      </c>
    </row>
    <row r="70">
      <c r="A70" s="1"/>
      <c r="B70" s="55"/>
      <c r="C70" s="43"/>
      <c r="D70" s="43"/>
      <c r="E70" s="43"/>
      <c r="F70" s="2"/>
      <c r="G70" s="2"/>
      <c r="H70" s="2"/>
      <c r="I70" s="2"/>
      <c r="J70" s="56"/>
      <c r="K70" s="56"/>
    </row>
    <row r="71">
      <c r="A71" s="36" t="s">
        <v>111</v>
      </c>
      <c r="B71" s="37"/>
      <c r="C71" s="37"/>
      <c r="D71" s="37"/>
      <c r="E71" s="37"/>
      <c r="F71" s="37"/>
      <c r="G71" s="37"/>
      <c r="H71" s="37"/>
      <c r="I71" s="38" t="s">
        <v>48</v>
      </c>
      <c r="J71" s="39"/>
      <c r="K71" s="40">
        <f>SUM(K72:K78)</f>
        <v>0</v>
      </c>
    </row>
    <row r="72">
      <c r="A72" s="41" t="s">
        <v>112</v>
      </c>
      <c r="B72" s="42" t="s">
        <v>113</v>
      </c>
      <c r="C72" s="43"/>
      <c r="D72" s="43"/>
      <c r="E72" s="43"/>
      <c r="F72" s="44">
        <v>1.0</v>
      </c>
      <c r="G72" s="46">
        <v>0.0</v>
      </c>
      <c r="H72" s="46" t="s">
        <v>114</v>
      </c>
      <c r="I72" s="47">
        <v>3000.0</v>
      </c>
      <c r="J72" s="48">
        <v>1.0</v>
      </c>
      <c r="K72" s="49">
        <f t="shared" ref="K72:K77" si="7">(F72*G72*I72)*J72</f>
        <v>0</v>
      </c>
    </row>
    <row r="73">
      <c r="A73" s="57" t="s">
        <v>115</v>
      </c>
      <c r="B73" s="42" t="s">
        <v>116</v>
      </c>
      <c r="C73" s="43"/>
      <c r="D73" s="43"/>
      <c r="E73" s="43"/>
      <c r="F73" s="50">
        <v>0.0</v>
      </c>
      <c r="G73" s="51">
        <v>0.0</v>
      </c>
      <c r="H73" s="51" t="s">
        <v>117</v>
      </c>
      <c r="I73" s="52">
        <v>0.0</v>
      </c>
      <c r="J73" s="48">
        <v>1.0</v>
      </c>
      <c r="K73" s="49">
        <f t="shared" si="7"/>
        <v>0</v>
      </c>
    </row>
    <row r="74">
      <c r="A74" s="41" t="s">
        <v>118</v>
      </c>
      <c r="B74" s="42" t="s">
        <v>119</v>
      </c>
      <c r="C74" s="43"/>
      <c r="D74" s="43"/>
      <c r="E74" s="43"/>
      <c r="F74" s="50">
        <v>0.0</v>
      </c>
      <c r="G74" s="51">
        <v>0.0</v>
      </c>
      <c r="H74" s="51" t="s">
        <v>117</v>
      </c>
      <c r="I74" s="52">
        <v>0.0</v>
      </c>
      <c r="J74" s="48">
        <v>1.0</v>
      </c>
      <c r="K74" s="49">
        <f t="shared" si="7"/>
        <v>0</v>
      </c>
    </row>
    <row r="75">
      <c r="A75" s="57" t="s">
        <v>120</v>
      </c>
      <c r="B75" s="42" t="s">
        <v>121</v>
      </c>
      <c r="C75" s="43"/>
      <c r="D75" s="43"/>
      <c r="E75" s="43"/>
      <c r="F75" s="50">
        <v>0.0</v>
      </c>
      <c r="G75" s="51">
        <v>0.0</v>
      </c>
      <c r="H75" s="51" t="s">
        <v>122</v>
      </c>
      <c r="I75" s="52">
        <v>0.0</v>
      </c>
      <c r="J75" s="48">
        <v>1.0</v>
      </c>
      <c r="K75" s="49">
        <f t="shared" si="7"/>
        <v>0</v>
      </c>
    </row>
    <row r="76">
      <c r="A76" s="41" t="s">
        <v>123</v>
      </c>
      <c r="B76" s="42" t="s">
        <v>124</v>
      </c>
      <c r="C76" s="43"/>
      <c r="D76" s="43"/>
      <c r="E76" s="43"/>
      <c r="F76" s="50">
        <v>0.0</v>
      </c>
      <c r="G76" s="51">
        <v>0.0</v>
      </c>
      <c r="H76" s="51" t="s">
        <v>125</v>
      </c>
      <c r="I76" s="52">
        <v>0.0</v>
      </c>
      <c r="J76" s="48">
        <v>1.0</v>
      </c>
      <c r="K76" s="49">
        <f t="shared" si="7"/>
        <v>0</v>
      </c>
    </row>
    <row r="77">
      <c r="A77" s="57" t="s">
        <v>126</v>
      </c>
      <c r="B77" s="42" t="s">
        <v>127</v>
      </c>
      <c r="C77" s="43"/>
      <c r="D77" s="43"/>
      <c r="E77" s="43"/>
      <c r="F77" s="44">
        <v>1.0</v>
      </c>
      <c r="G77" s="51">
        <v>0.0</v>
      </c>
      <c r="H77" s="51" t="s">
        <v>125</v>
      </c>
      <c r="I77" s="52">
        <v>10000.0</v>
      </c>
      <c r="J77" s="48">
        <v>1.0</v>
      </c>
      <c r="K77" s="49">
        <f t="shared" si="7"/>
        <v>0</v>
      </c>
    </row>
    <row r="78">
      <c r="A78" s="1"/>
      <c r="B78" s="55"/>
      <c r="C78" s="43"/>
      <c r="D78" s="43"/>
      <c r="E78" s="43"/>
      <c r="F78" s="2"/>
      <c r="G78" s="2"/>
      <c r="H78" s="2"/>
      <c r="I78" s="2"/>
      <c r="J78" s="56"/>
      <c r="K78" s="56"/>
    </row>
    <row r="79">
      <c r="A79" s="36" t="s">
        <v>128</v>
      </c>
      <c r="B79" s="37"/>
      <c r="C79" s="37"/>
      <c r="D79" s="37"/>
      <c r="E79" s="37"/>
      <c r="F79" s="37"/>
      <c r="G79" s="37"/>
      <c r="H79" s="37"/>
      <c r="I79" s="38" t="s">
        <v>48</v>
      </c>
      <c r="J79" s="39"/>
      <c r="K79" s="40">
        <f>SUM(K80:K84)</f>
        <v>0</v>
      </c>
    </row>
    <row r="80">
      <c r="A80" s="41" t="s">
        <v>129</v>
      </c>
      <c r="B80" s="42" t="s">
        <v>130</v>
      </c>
      <c r="C80" s="43"/>
      <c r="D80" s="43"/>
      <c r="E80" s="43"/>
      <c r="F80" s="44">
        <v>1.0</v>
      </c>
      <c r="G80" s="46">
        <v>0.0</v>
      </c>
      <c r="H80" s="46" t="s">
        <v>131</v>
      </c>
      <c r="I80" s="47">
        <v>5000.0</v>
      </c>
      <c r="J80" s="48">
        <v>1.0</v>
      </c>
      <c r="K80" s="49">
        <f>(F80*G80*I80)</f>
        <v>0</v>
      </c>
    </row>
    <row r="81">
      <c r="A81" s="57" t="s">
        <v>132</v>
      </c>
      <c r="B81" s="42" t="s">
        <v>133</v>
      </c>
      <c r="C81" s="43"/>
      <c r="D81" s="43"/>
      <c r="E81" s="43"/>
      <c r="F81" s="44">
        <v>1.0</v>
      </c>
      <c r="G81" s="51">
        <v>0.0</v>
      </c>
      <c r="H81" s="51" t="s">
        <v>122</v>
      </c>
      <c r="I81" s="47">
        <v>30000.0</v>
      </c>
      <c r="J81" s="48">
        <v>1.0</v>
      </c>
      <c r="K81" s="49">
        <f t="shared" ref="K81:K83" si="8">(F81*G81*I81)*J81</f>
        <v>0</v>
      </c>
    </row>
    <row r="82">
      <c r="A82" s="57" t="s">
        <v>134</v>
      </c>
      <c r="B82" s="42" t="s">
        <v>135</v>
      </c>
      <c r="C82" s="43"/>
      <c r="D82" s="43"/>
      <c r="E82" s="43"/>
      <c r="F82" s="44">
        <v>1.0</v>
      </c>
      <c r="G82" s="51">
        <v>0.0</v>
      </c>
      <c r="H82" s="51" t="s">
        <v>122</v>
      </c>
      <c r="I82" s="47">
        <v>23000.0</v>
      </c>
      <c r="J82" s="48">
        <v>1.0</v>
      </c>
      <c r="K82" s="49">
        <f t="shared" si="8"/>
        <v>0</v>
      </c>
    </row>
    <row r="83">
      <c r="A83" s="57" t="s">
        <v>136</v>
      </c>
      <c r="B83" s="42" t="s">
        <v>137</v>
      </c>
      <c r="C83" s="43"/>
      <c r="D83" s="43"/>
      <c r="E83" s="43"/>
      <c r="F83" s="50">
        <v>0.0</v>
      </c>
      <c r="G83" s="51">
        <v>0.0</v>
      </c>
      <c r="H83" s="51" t="s">
        <v>117</v>
      </c>
      <c r="I83" s="47">
        <v>0.0</v>
      </c>
      <c r="J83" s="48">
        <v>1.0</v>
      </c>
      <c r="K83" s="49">
        <f t="shared" si="8"/>
        <v>0</v>
      </c>
    </row>
    <row r="84">
      <c r="A84" s="1"/>
      <c r="B84" s="55"/>
      <c r="C84" s="43"/>
      <c r="D84" s="43"/>
      <c r="E84" s="43"/>
      <c r="F84" s="2"/>
      <c r="G84" s="2"/>
      <c r="H84" s="2"/>
      <c r="I84" s="2"/>
      <c r="J84" s="56"/>
      <c r="K84" s="56"/>
    </row>
    <row r="85">
      <c r="A85" s="36" t="s">
        <v>138</v>
      </c>
      <c r="B85" s="37"/>
      <c r="C85" s="37"/>
      <c r="D85" s="37"/>
      <c r="E85" s="37"/>
      <c r="F85" s="37"/>
      <c r="G85" s="37"/>
      <c r="H85" s="37"/>
      <c r="I85" s="38" t="s">
        <v>48</v>
      </c>
      <c r="J85" s="39"/>
      <c r="K85" s="40">
        <f>SUM(K86:K88)</f>
        <v>0</v>
      </c>
    </row>
    <row r="86">
      <c r="A86" s="41" t="s">
        <v>139</v>
      </c>
      <c r="B86" s="42" t="s">
        <v>140</v>
      </c>
      <c r="C86" s="43"/>
      <c r="D86" s="43"/>
      <c r="E86" s="43"/>
      <c r="F86" s="50">
        <v>0.0</v>
      </c>
      <c r="G86" s="46">
        <v>0.0</v>
      </c>
      <c r="H86" s="46" t="s">
        <v>84</v>
      </c>
      <c r="I86" s="47">
        <v>3500.0</v>
      </c>
      <c r="J86" s="48">
        <v>1.0</v>
      </c>
      <c r="K86" s="49">
        <f t="shared" ref="K86:K87" si="9">(F86*G86*I86)*J86</f>
        <v>0</v>
      </c>
    </row>
    <row r="87">
      <c r="A87" s="57" t="s">
        <v>141</v>
      </c>
      <c r="B87" s="42" t="s">
        <v>142</v>
      </c>
      <c r="C87" s="43"/>
      <c r="D87" s="43"/>
      <c r="E87" s="43"/>
      <c r="F87" s="50">
        <v>0.0</v>
      </c>
      <c r="G87" s="51">
        <f>$I$15</f>
        <v>45</v>
      </c>
      <c r="H87" s="51" t="s">
        <v>143</v>
      </c>
      <c r="I87" s="52">
        <v>50.0</v>
      </c>
      <c r="J87" s="48">
        <v>1.0</v>
      </c>
      <c r="K87" s="49">
        <f t="shared" si="9"/>
        <v>0</v>
      </c>
    </row>
    <row r="88">
      <c r="A88" s="1"/>
      <c r="B88" s="55"/>
      <c r="C88" s="43"/>
      <c r="D88" s="43"/>
      <c r="E88" s="43"/>
      <c r="F88" s="2"/>
      <c r="G88" s="2"/>
      <c r="H88" s="2"/>
      <c r="I88" s="2"/>
      <c r="J88" s="56"/>
      <c r="K88" s="56"/>
    </row>
    <row r="89">
      <c r="A89" s="36" t="s">
        <v>144</v>
      </c>
      <c r="B89" s="37"/>
      <c r="C89" s="37"/>
      <c r="D89" s="37"/>
      <c r="E89" s="37"/>
      <c r="F89" s="37"/>
      <c r="G89" s="37"/>
      <c r="H89" s="37"/>
      <c r="I89" s="38" t="s">
        <v>48</v>
      </c>
      <c r="J89" s="39"/>
      <c r="K89" s="40">
        <f>SUM(K90:K95)</f>
        <v>0</v>
      </c>
    </row>
    <row r="90">
      <c r="A90" s="41" t="s">
        <v>145</v>
      </c>
      <c r="B90" s="42" t="s">
        <v>146</v>
      </c>
      <c r="C90" s="43"/>
      <c r="D90" s="43"/>
      <c r="E90" s="43"/>
      <c r="F90" s="50">
        <v>0.0</v>
      </c>
      <c r="G90" s="51">
        <f t="shared" ref="G90:G91" si="10">$I$15</f>
        <v>45</v>
      </c>
      <c r="H90" s="60" t="s">
        <v>147</v>
      </c>
      <c r="I90" s="61">
        <v>110.0</v>
      </c>
      <c r="J90" s="48">
        <v>1.0</v>
      </c>
      <c r="K90" s="49">
        <f t="shared" ref="K90:K94" si="11">(F90*G90*I90)*J90</f>
        <v>0</v>
      </c>
    </row>
    <row r="91">
      <c r="A91" s="57" t="s">
        <v>148</v>
      </c>
      <c r="B91" s="42" t="s">
        <v>149</v>
      </c>
      <c r="C91" s="43"/>
      <c r="D91" s="43"/>
      <c r="E91" s="43"/>
      <c r="F91" s="50">
        <v>0.0</v>
      </c>
      <c r="G91" s="51">
        <f t="shared" si="10"/>
        <v>45</v>
      </c>
      <c r="H91" s="60" t="s">
        <v>147</v>
      </c>
      <c r="I91" s="61">
        <v>110.0</v>
      </c>
      <c r="J91" s="48">
        <v>1.0</v>
      </c>
      <c r="K91" s="49">
        <f t="shared" si="11"/>
        <v>0</v>
      </c>
    </row>
    <row r="92">
      <c r="A92" s="57" t="s">
        <v>150</v>
      </c>
      <c r="B92" s="42" t="s">
        <v>151</v>
      </c>
      <c r="C92" s="43"/>
      <c r="D92" s="43"/>
      <c r="E92" s="43"/>
      <c r="F92" s="50">
        <v>0.0</v>
      </c>
      <c r="G92" s="51">
        <v>1.0</v>
      </c>
      <c r="H92" s="51" t="s">
        <v>152</v>
      </c>
      <c r="I92" s="52">
        <v>60.0</v>
      </c>
      <c r="J92" s="48">
        <v>1.0</v>
      </c>
      <c r="K92" s="49">
        <f t="shared" si="11"/>
        <v>0</v>
      </c>
    </row>
    <row r="93">
      <c r="A93" s="57" t="s">
        <v>153</v>
      </c>
      <c r="B93" s="42" t="s">
        <v>154</v>
      </c>
      <c r="C93" s="43"/>
      <c r="D93" s="43"/>
      <c r="E93" s="43"/>
      <c r="F93" s="50">
        <v>0.0</v>
      </c>
      <c r="G93" s="51">
        <v>1.0</v>
      </c>
      <c r="H93" s="51" t="s">
        <v>152</v>
      </c>
      <c r="I93" s="52">
        <v>590.0</v>
      </c>
      <c r="J93" s="48">
        <v>1.0</v>
      </c>
      <c r="K93" s="49">
        <f t="shared" si="11"/>
        <v>0</v>
      </c>
    </row>
    <row r="94">
      <c r="A94" s="41" t="s">
        <v>155</v>
      </c>
      <c r="B94" s="42" t="s">
        <v>156</v>
      </c>
      <c r="C94" s="43"/>
      <c r="D94" s="43"/>
      <c r="E94" s="43"/>
      <c r="F94" s="50">
        <v>0.0</v>
      </c>
      <c r="G94" s="51">
        <v>1.0</v>
      </c>
      <c r="H94" s="51" t="s">
        <v>152</v>
      </c>
      <c r="I94" s="52">
        <v>1700.0</v>
      </c>
      <c r="J94" s="48">
        <v>1.0</v>
      </c>
      <c r="K94" s="49">
        <f t="shared" si="11"/>
        <v>0</v>
      </c>
    </row>
    <row r="95">
      <c r="A95" s="1"/>
      <c r="B95" s="2"/>
      <c r="C95" s="2"/>
      <c r="D95" s="2"/>
      <c r="E95" s="2"/>
      <c r="F95" s="2"/>
      <c r="G95" s="2"/>
      <c r="H95" s="2"/>
      <c r="I95" s="2"/>
      <c r="J95" s="56"/>
      <c r="K95" s="56"/>
    </row>
    <row r="96">
      <c r="A96" s="36" t="s">
        <v>157</v>
      </c>
      <c r="B96" s="37"/>
      <c r="C96" s="37"/>
      <c r="D96" s="37"/>
      <c r="E96" s="37"/>
      <c r="F96" s="37"/>
      <c r="G96" s="37"/>
      <c r="H96" s="37"/>
      <c r="I96" s="38" t="s">
        <v>48</v>
      </c>
      <c r="J96" s="39"/>
      <c r="K96" s="40">
        <f>SUM(K97:K163)</f>
        <v>0</v>
      </c>
    </row>
    <row r="97">
      <c r="A97" s="41" t="s">
        <v>158</v>
      </c>
      <c r="B97" s="42" t="s">
        <v>159</v>
      </c>
      <c r="C97" s="43"/>
      <c r="D97" s="43"/>
      <c r="E97" s="43"/>
      <c r="F97" s="50">
        <v>0.0</v>
      </c>
      <c r="G97" s="46">
        <v>1.0</v>
      </c>
      <c r="H97" s="46" t="s">
        <v>160</v>
      </c>
      <c r="I97" s="47">
        <v>200.0</v>
      </c>
      <c r="J97" s="48">
        <v>1.0</v>
      </c>
      <c r="K97" s="49">
        <f t="shared" ref="K97:K162" si="12">(F97*G97*I97)*J97</f>
        <v>0</v>
      </c>
    </row>
    <row r="98">
      <c r="A98" s="41" t="s">
        <v>161</v>
      </c>
      <c r="B98" s="42" t="s">
        <v>162</v>
      </c>
      <c r="C98" s="43"/>
      <c r="D98" s="43"/>
      <c r="E98" s="43"/>
      <c r="F98" s="44">
        <v>1.0</v>
      </c>
      <c r="G98" s="51">
        <v>0.0</v>
      </c>
      <c r="H98" s="51" t="s">
        <v>143</v>
      </c>
      <c r="I98" s="52">
        <v>40.0</v>
      </c>
      <c r="J98" s="48">
        <v>1.0</v>
      </c>
      <c r="K98" s="49">
        <f t="shared" si="12"/>
        <v>0</v>
      </c>
    </row>
    <row r="99">
      <c r="A99" s="41" t="s">
        <v>163</v>
      </c>
      <c r="B99" s="42" t="s">
        <v>164</v>
      </c>
      <c r="C99" s="43"/>
      <c r="D99" s="43"/>
      <c r="E99" s="43"/>
      <c r="F99" s="50">
        <v>0.0</v>
      </c>
      <c r="G99" s="51">
        <f t="shared" ref="G99:G108" si="13">$I$15</f>
        <v>45</v>
      </c>
      <c r="H99" s="51" t="s">
        <v>143</v>
      </c>
      <c r="I99" s="52">
        <v>120.0</v>
      </c>
      <c r="J99" s="48">
        <v>1.0</v>
      </c>
      <c r="K99" s="49">
        <f t="shared" si="12"/>
        <v>0</v>
      </c>
    </row>
    <row r="100">
      <c r="A100" s="41" t="s">
        <v>165</v>
      </c>
      <c r="B100" s="42" t="s">
        <v>166</v>
      </c>
      <c r="C100" s="43"/>
      <c r="D100" s="43"/>
      <c r="E100" s="43"/>
      <c r="F100" s="50">
        <v>0.0</v>
      </c>
      <c r="G100" s="51">
        <f t="shared" si="13"/>
        <v>45</v>
      </c>
      <c r="H100" s="51" t="s">
        <v>143</v>
      </c>
      <c r="I100" s="52">
        <v>95.0</v>
      </c>
      <c r="J100" s="48">
        <v>1.0</v>
      </c>
      <c r="K100" s="49">
        <f t="shared" si="12"/>
        <v>0</v>
      </c>
    </row>
    <row r="101">
      <c r="A101" s="41" t="s">
        <v>167</v>
      </c>
      <c r="B101" s="42" t="s">
        <v>168</v>
      </c>
      <c r="C101" s="43"/>
      <c r="D101" s="43"/>
      <c r="E101" s="43"/>
      <c r="F101" s="50">
        <v>0.0</v>
      </c>
      <c r="G101" s="51">
        <f t="shared" si="13"/>
        <v>45</v>
      </c>
      <c r="H101" s="51" t="s">
        <v>143</v>
      </c>
      <c r="I101" s="52">
        <v>95.0</v>
      </c>
      <c r="J101" s="48">
        <v>1.0</v>
      </c>
      <c r="K101" s="49">
        <f t="shared" si="12"/>
        <v>0</v>
      </c>
    </row>
    <row r="102">
      <c r="A102" s="41" t="s">
        <v>169</v>
      </c>
      <c r="B102" s="42" t="s">
        <v>170</v>
      </c>
      <c r="C102" s="43"/>
      <c r="D102" s="43"/>
      <c r="E102" s="43"/>
      <c r="F102" s="50">
        <v>0.0</v>
      </c>
      <c r="G102" s="51">
        <f t="shared" si="13"/>
        <v>45</v>
      </c>
      <c r="H102" s="51" t="s">
        <v>143</v>
      </c>
      <c r="I102" s="52">
        <v>130.0</v>
      </c>
      <c r="J102" s="48">
        <v>1.0</v>
      </c>
      <c r="K102" s="49">
        <f t="shared" si="12"/>
        <v>0</v>
      </c>
    </row>
    <row r="103">
      <c r="A103" s="41" t="s">
        <v>171</v>
      </c>
      <c r="B103" s="42" t="s">
        <v>172</v>
      </c>
      <c r="C103" s="43"/>
      <c r="D103" s="43"/>
      <c r="E103" s="43"/>
      <c r="F103" s="50">
        <v>0.0</v>
      </c>
      <c r="G103" s="51">
        <f t="shared" si="13"/>
        <v>45</v>
      </c>
      <c r="H103" s="51" t="s">
        <v>143</v>
      </c>
      <c r="I103" s="52">
        <v>110.0</v>
      </c>
      <c r="J103" s="48">
        <v>1.0</v>
      </c>
      <c r="K103" s="49">
        <f t="shared" si="12"/>
        <v>0</v>
      </c>
    </row>
    <row r="104">
      <c r="A104" s="41" t="s">
        <v>173</v>
      </c>
      <c r="B104" s="42" t="s">
        <v>174</v>
      </c>
      <c r="C104" s="43"/>
      <c r="D104" s="43"/>
      <c r="E104" s="43"/>
      <c r="F104" s="50">
        <v>0.0</v>
      </c>
      <c r="G104" s="51">
        <f t="shared" si="13"/>
        <v>45</v>
      </c>
      <c r="H104" s="51" t="s">
        <v>143</v>
      </c>
      <c r="I104" s="52">
        <v>90.0</v>
      </c>
      <c r="J104" s="48">
        <v>1.0</v>
      </c>
      <c r="K104" s="49">
        <f t="shared" si="12"/>
        <v>0</v>
      </c>
    </row>
    <row r="105">
      <c r="A105" s="41" t="s">
        <v>175</v>
      </c>
      <c r="B105" s="42" t="s">
        <v>176</v>
      </c>
      <c r="C105" s="43"/>
      <c r="D105" s="43"/>
      <c r="E105" s="43"/>
      <c r="F105" s="50">
        <v>0.0</v>
      </c>
      <c r="G105" s="51">
        <f t="shared" si="13"/>
        <v>45</v>
      </c>
      <c r="H105" s="51" t="s">
        <v>143</v>
      </c>
      <c r="I105" s="52">
        <v>95.0</v>
      </c>
      <c r="J105" s="48">
        <v>1.0</v>
      </c>
      <c r="K105" s="49">
        <f t="shared" si="12"/>
        <v>0</v>
      </c>
    </row>
    <row r="106">
      <c r="A106" s="41" t="s">
        <v>177</v>
      </c>
      <c r="B106" s="42" t="s">
        <v>178</v>
      </c>
      <c r="C106" s="43"/>
      <c r="D106" s="43"/>
      <c r="E106" s="43"/>
      <c r="F106" s="50">
        <v>0.0</v>
      </c>
      <c r="G106" s="51">
        <f t="shared" si="13"/>
        <v>45</v>
      </c>
      <c r="H106" s="51" t="s">
        <v>143</v>
      </c>
      <c r="I106" s="52">
        <v>95.0</v>
      </c>
      <c r="J106" s="48">
        <v>1.0</v>
      </c>
      <c r="K106" s="49">
        <f t="shared" si="12"/>
        <v>0</v>
      </c>
    </row>
    <row r="107">
      <c r="A107" s="41" t="s">
        <v>179</v>
      </c>
      <c r="B107" s="42" t="s">
        <v>180</v>
      </c>
      <c r="C107" s="43"/>
      <c r="D107" s="43"/>
      <c r="E107" s="43"/>
      <c r="F107" s="50">
        <v>0.0</v>
      </c>
      <c r="G107" s="51">
        <f t="shared" si="13"/>
        <v>45</v>
      </c>
      <c r="H107" s="51" t="s">
        <v>143</v>
      </c>
      <c r="I107" s="52">
        <v>40.0</v>
      </c>
      <c r="J107" s="48">
        <v>1.0</v>
      </c>
      <c r="K107" s="49">
        <f t="shared" si="12"/>
        <v>0</v>
      </c>
    </row>
    <row r="108">
      <c r="A108" s="41" t="s">
        <v>181</v>
      </c>
      <c r="B108" s="42" t="s">
        <v>182</v>
      </c>
      <c r="C108" s="43"/>
      <c r="D108" s="43"/>
      <c r="E108" s="43"/>
      <c r="F108" s="50">
        <v>0.0</v>
      </c>
      <c r="G108" s="51">
        <f t="shared" si="13"/>
        <v>45</v>
      </c>
      <c r="H108" s="51" t="s">
        <v>143</v>
      </c>
      <c r="I108" s="52">
        <v>40.0</v>
      </c>
      <c r="J108" s="48">
        <v>1.0</v>
      </c>
      <c r="K108" s="49">
        <f t="shared" si="12"/>
        <v>0</v>
      </c>
    </row>
    <row r="109">
      <c r="A109" s="41" t="s">
        <v>183</v>
      </c>
      <c r="B109" s="42" t="s">
        <v>184</v>
      </c>
      <c r="C109" s="43"/>
      <c r="D109" s="43"/>
      <c r="E109" s="43"/>
      <c r="F109" s="50">
        <v>0.0</v>
      </c>
      <c r="G109" s="51">
        <f t="shared" ref="G109:G110" si="14">$I$15/10</f>
        <v>4.5</v>
      </c>
      <c r="H109" s="51" t="s">
        <v>143</v>
      </c>
      <c r="I109" s="52">
        <v>140.0</v>
      </c>
      <c r="J109" s="48">
        <v>1.0</v>
      </c>
      <c r="K109" s="49">
        <f t="shared" si="12"/>
        <v>0</v>
      </c>
    </row>
    <row r="110">
      <c r="A110" s="41" t="s">
        <v>185</v>
      </c>
      <c r="B110" s="42" t="s">
        <v>186</v>
      </c>
      <c r="C110" s="43"/>
      <c r="D110" s="43"/>
      <c r="E110" s="43"/>
      <c r="F110" s="50">
        <v>0.0</v>
      </c>
      <c r="G110" s="51">
        <f t="shared" si="14"/>
        <v>4.5</v>
      </c>
      <c r="H110" s="51" t="s">
        <v>143</v>
      </c>
      <c r="I110" s="52">
        <v>140.0</v>
      </c>
      <c r="J110" s="48">
        <v>1.0</v>
      </c>
      <c r="K110" s="49">
        <f t="shared" si="12"/>
        <v>0</v>
      </c>
    </row>
    <row r="111">
      <c r="A111" s="41" t="s">
        <v>187</v>
      </c>
      <c r="B111" s="42" t="s">
        <v>188</v>
      </c>
      <c r="C111" s="43"/>
      <c r="D111" s="43"/>
      <c r="E111" s="43"/>
      <c r="F111" s="50">
        <v>0.0</v>
      </c>
      <c r="G111" s="51">
        <f>$I$15</f>
        <v>45</v>
      </c>
      <c r="H111" s="51" t="s">
        <v>143</v>
      </c>
      <c r="I111" s="52">
        <v>140.0</v>
      </c>
      <c r="J111" s="48">
        <v>1.0</v>
      </c>
      <c r="K111" s="49">
        <f t="shared" si="12"/>
        <v>0</v>
      </c>
    </row>
    <row r="112">
      <c r="A112" s="41" t="s">
        <v>189</v>
      </c>
      <c r="B112" s="42" t="s">
        <v>190</v>
      </c>
      <c r="C112" s="43"/>
      <c r="D112" s="43"/>
      <c r="E112" s="43"/>
      <c r="F112" s="50">
        <v>0.0</v>
      </c>
      <c r="G112" s="51">
        <f>$I$15/10</f>
        <v>4.5</v>
      </c>
      <c r="H112" s="51" t="s">
        <v>143</v>
      </c>
      <c r="I112" s="52">
        <v>140.0</v>
      </c>
      <c r="J112" s="48">
        <v>1.0</v>
      </c>
      <c r="K112" s="49">
        <f t="shared" si="12"/>
        <v>0</v>
      </c>
    </row>
    <row r="113">
      <c r="A113" s="41" t="s">
        <v>191</v>
      </c>
      <c r="B113" s="42" t="s">
        <v>192</v>
      </c>
      <c r="C113" s="43"/>
      <c r="D113" s="43"/>
      <c r="E113" s="43"/>
      <c r="F113" s="50">
        <v>0.0</v>
      </c>
      <c r="G113" s="51">
        <f>$I$15</f>
        <v>45</v>
      </c>
      <c r="H113" s="51" t="s">
        <v>143</v>
      </c>
      <c r="I113" s="52">
        <v>95.0</v>
      </c>
      <c r="J113" s="48">
        <v>1.0</v>
      </c>
      <c r="K113" s="49">
        <f t="shared" si="12"/>
        <v>0</v>
      </c>
    </row>
    <row r="114">
      <c r="A114" s="41" t="s">
        <v>193</v>
      </c>
      <c r="B114" s="42" t="s">
        <v>194</v>
      </c>
      <c r="C114" s="43"/>
      <c r="D114" s="43"/>
      <c r="E114" s="43"/>
      <c r="F114" s="50">
        <v>0.0</v>
      </c>
      <c r="G114" s="51">
        <f>$I$15/10</f>
        <v>4.5</v>
      </c>
      <c r="H114" s="51" t="s">
        <v>143</v>
      </c>
      <c r="I114" s="52">
        <v>95.0</v>
      </c>
      <c r="J114" s="48">
        <v>1.0</v>
      </c>
      <c r="K114" s="49">
        <f t="shared" si="12"/>
        <v>0</v>
      </c>
    </row>
    <row r="115">
      <c r="A115" s="41" t="s">
        <v>195</v>
      </c>
      <c r="B115" s="42" t="s">
        <v>196</v>
      </c>
      <c r="C115" s="43"/>
      <c r="D115" s="43"/>
      <c r="E115" s="43"/>
      <c r="F115" s="50">
        <v>0.0</v>
      </c>
      <c r="G115" s="51">
        <v>1.0</v>
      </c>
      <c r="H115" s="51" t="s">
        <v>122</v>
      </c>
      <c r="I115" s="52">
        <v>800.0</v>
      </c>
      <c r="J115" s="48">
        <v>1.0</v>
      </c>
      <c r="K115" s="49">
        <f t="shared" si="12"/>
        <v>0</v>
      </c>
    </row>
    <row r="116">
      <c r="A116" s="41" t="s">
        <v>197</v>
      </c>
      <c r="B116" s="42" t="s">
        <v>198</v>
      </c>
      <c r="C116" s="43"/>
      <c r="D116" s="43"/>
      <c r="E116" s="43"/>
      <c r="F116" s="50">
        <v>0.0</v>
      </c>
      <c r="G116" s="51">
        <v>1.0</v>
      </c>
      <c r="H116" s="51" t="s">
        <v>122</v>
      </c>
      <c r="I116" s="52">
        <v>800.0</v>
      </c>
      <c r="J116" s="48">
        <v>1.0</v>
      </c>
      <c r="K116" s="49">
        <f t="shared" si="12"/>
        <v>0</v>
      </c>
    </row>
    <row r="117">
      <c r="A117" s="41" t="s">
        <v>199</v>
      </c>
      <c r="B117" s="42" t="s">
        <v>200</v>
      </c>
      <c r="C117" s="43"/>
      <c r="D117" s="43"/>
      <c r="E117" s="43"/>
      <c r="F117" s="50">
        <v>0.0</v>
      </c>
      <c r="G117" s="51">
        <f>$I$15</f>
        <v>45</v>
      </c>
      <c r="H117" s="51" t="s">
        <v>143</v>
      </c>
      <c r="I117" s="52">
        <v>90.0</v>
      </c>
      <c r="J117" s="48">
        <v>1.0</v>
      </c>
      <c r="K117" s="49">
        <f t="shared" si="12"/>
        <v>0</v>
      </c>
    </row>
    <row r="118">
      <c r="A118" s="41" t="s">
        <v>201</v>
      </c>
      <c r="B118" s="42" t="s">
        <v>202</v>
      </c>
      <c r="C118" s="43"/>
      <c r="D118" s="43"/>
      <c r="E118" s="43"/>
      <c r="F118" s="50">
        <v>0.0</v>
      </c>
      <c r="G118" s="51">
        <f>$I$15/10</f>
        <v>4.5</v>
      </c>
      <c r="H118" s="51" t="s">
        <v>143</v>
      </c>
      <c r="I118" s="52">
        <v>90.0</v>
      </c>
      <c r="J118" s="48">
        <v>1.0</v>
      </c>
      <c r="K118" s="49">
        <f t="shared" si="12"/>
        <v>0</v>
      </c>
    </row>
    <row r="119">
      <c r="A119" s="41" t="s">
        <v>203</v>
      </c>
      <c r="B119" s="42" t="s">
        <v>204</v>
      </c>
      <c r="C119" s="43"/>
      <c r="D119" s="43"/>
      <c r="E119" s="43"/>
      <c r="F119" s="50">
        <v>0.0</v>
      </c>
      <c r="G119" s="51">
        <f t="shared" ref="G119:G120" si="15">$I$15</f>
        <v>45</v>
      </c>
      <c r="H119" s="51" t="s">
        <v>143</v>
      </c>
      <c r="I119" s="52">
        <v>90.0</v>
      </c>
      <c r="J119" s="48">
        <v>1.0</v>
      </c>
      <c r="K119" s="49">
        <f t="shared" si="12"/>
        <v>0</v>
      </c>
    </row>
    <row r="120">
      <c r="A120" s="41" t="s">
        <v>205</v>
      </c>
      <c r="B120" s="42" t="s">
        <v>206</v>
      </c>
      <c r="C120" s="43"/>
      <c r="D120" s="43"/>
      <c r="E120" s="43"/>
      <c r="F120" s="50">
        <v>0.0</v>
      </c>
      <c r="G120" s="51">
        <f t="shared" si="15"/>
        <v>45</v>
      </c>
      <c r="H120" s="51" t="s">
        <v>143</v>
      </c>
      <c r="I120" s="52">
        <v>90.0</v>
      </c>
      <c r="J120" s="48">
        <v>1.0</v>
      </c>
      <c r="K120" s="49">
        <f t="shared" si="12"/>
        <v>0</v>
      </c>
    </row>
    <row r="121">
      <c r="A121" s="41" t="s">
        <v>207</v>
      </c>
      <c r="B121" s="42" t="s">
        <v>208</v>
      </c>
      <c r="C121" s="43"/>
      <c r="D121" s="43"/>
      <c r="E121" s="43"/>
      <c r="F121" s="44">
        <v>1.0</v>
      </c>
      <c r="G121" s="51">
        <v>0.0</v>
      </c>
      <c r="H121" s="51" t="s">
        <v>143</v>
      </c>
      <c r="I121" s="52">
        <v>120.0</v>
      </c>
      <c r="J121" s="48">
        <v>1.0</v>
      </c>
      <c r="K121" s="49">
        <f t="shared" si="12"/>
        <v>0</v>
      </c>
    </row>
    <row r="122">
      <c r="A122" s="41" t="s">
        <v>209</v>
      </c>
      <c r="B122" s="42" t="s">
        <v>210</v>
      </c>
      <c r="C122" s="43"/>
      <c r="D122" s="43"/>
      <c r="E122" s="43"/>
      <c r="F122" s="50">
        <v>0.0</v>
      </c>
      <c r="G122" s="51">
        <f>$I$15</f>
        <v>45</v>
      </c>
      <c r="H122" s="51" t="s">
        <v>143</v>
      </c>
      <c r="I122" s="52">
        <v>140.0</v>
      </c>
      <c r="J122" s="48">
        <v>1.0</v>
      </c>
      <c r="K122" s="49">
        <f t="shared" si="12"/>
        <v>0</v>
      </c>
    </row>
    <row r="123">
      <c r="A123" s="41" t="s">
        <v>211</v>
      </c>
      <c r="B123" s="42" t="s">
        <v>212</v>
      </c>
      <c r="C123" s="43"/>
      <c r="D123" s="43"/>
      <c r="E123" s="43"/>
      <c r="F123" s="44">
        <v>1.0</v>
      </c>
      <c r="G123" s="51">
        <v>0.0</v>
      </c>
      <c r="H123" s="51" t="s">
        <v>143</v>
      </c>
      <c r="I123" s="52">
        <v>120.0</v>
      </c>
      <c r="J123" s="48">
        <v>1.0</v>
      </c>
      <c r="K123" s="49">
        <f t="shared" si="12"/>
        <v>0</v>
      </c>
    </row>
    <row r="124">
      <c r="A124" s="41" t="s">
        <v>213</v>
      </c>
      <c r="B124" s="42" t="s">
        <v>214</v>
      </c>
      <c r="C124" s="43"/>
      <c r="D124" s="43"/>
      <c r="E124" s="43"/>
      <c r="F124" s="50">
        <v>0.0</v>
      </c>
      <c r="G124" s="51">
        <v>1.0</v>
      </c>
      <c r="H124" s="51" t="s">
        <v>215</v>
      </c>
      <c r="I124" s="52">
        <v>800.0</v>
      </c>
      <c r="J124" s="48">
        <v>1.0</v>
      </c>
      <c r="K124" s="49">
        <f t="shared" si="12"/>
        <v>0</v>
      </c>
    </row>
    <row r="125">
      <c r="A125" s="41" t="s">
        <v>216</v>
      </c>
      <c r="B125" s="42" t="s">
        <v>217</v>
      </c>
      <c r="C125" s="43"/>
      <c r="D125" s="43"/>
      <c r="E125" s="43"/>
      <c r="F125" s="50">
        <v>0.0</v>
      </c>
      <c r="G125" s="51">
        <f>$I$15/10</f>
        <v>4.5</v>
      </c>
      <c r="H125" s="51" t="s">
        <v>143</v>
      </c>
      <c r="I125" s="52">
        <v>140.0</v>
      </c>
      <c r="J125" s="48">
        <v>1.0</v>
      </c>
      <c r="K125" s="49">
        <f t="shared" si="12"/>
        <v>0</v>
      </c>
    </row>
    <row r="126">
      <c r="A126" s="41" t="s">
        <v>218</v>
      </c>
      <c r="B126" s="42" t="s">
        <v>219</v>
      </c>
      <c r="C126" s="43"/>
      <c r="D126" s="43"/>
      <c r="E126" s="43"/>
      <c r="F126" s="50">
        <v>0.0</v>
      </c>
      <c r="G126" s="51">
        <f t="shared" ref="G126:G127" si="16">$I$15</f>
        <v>45</v>
      </c>
      <c r="H126" s="51" t="s">
        <v>143</v>
      </c>
      <c r="I126" s="52">
        <v>110.0</v>
      </c>
      <c r="J126" s="48">
        <v>1.0</v>
      </c>
      <c r="K126" s="49">
        <f t="shared" si="12"/>
        <v>0</v>
      </c>
    </row>
    <row r="127">
      <c r="A127" s="41" t="s">
        <v>220</v>
      </c>
      <c r="B127" s="42" t="s">
        <v>221</v>
      </c>
      <c r="C127" s="43"/>
      <c r="D127" s="43"/>
      <c r="E127" s="43"/>
      <c r="F127" s="50">
        <v>0.0</v>
      </c>
      <c r="G127" s="51">
        <f t="shared" si="16"/>
        <v>45</v>
      </c>
      <c r="H127" s="51" t="s">
        <v>143</v>
      </c>
      <c r="I127" s="52">
        <v>110.0</v>
      </c>
      <c r="J127" s="48">
        <v>1.0</v>
      </c>
      <c r="K127" s="49">
        <f t="shared" si="12"/>
        <v>0</v>
      </c>
    </row>
    <row r="128">
      <c r="A128" s="41" t="s">
        <v>222</v>
      </c>
      <c r="B128" s="42" t="s">
        <v>223</v>
      </c>
      <c r="C128" s="43"/>
      <c r="D128" s="43"/>
      <c r="E128" s="43"/>
      <c r="F128" s="50">
        <v>0.0</v>
      </c>
      <c r="G128" s="51">
        <f t="shared" ref="G128:G129" si="17">$I$15/10</f>
        <v>4.5</v>
      </c>
      <c r="H128" s="51" t="s">
        <v>143</v>
      </c>
      <c r="I128" s="52">
        <v>110.0</v>
      </c>
      <c r="J128" s="48">
        <v>1.0</v>
      </c>
      <c r="K128" s="49">
        <f t="shared" si="12"/>
        <v>0</v>
      </c>
    </row>
    <row r="129">
      <c r="A129" s="41" t="s">
        <v>224</v>
      </c>
      <c r="B129" s="42" t="s">
        <v>225</v>
      </c>
      <c r="C129" s="43"/>
      <c r="D129" s="43"/>
      <c r="E129" s="43"/>
      <c r="F129" s="50">
        <v>0.0</v>
      </c>
      <c r="G129" s="51">
        <f t="shared" si="17"/>
        <v>4.5</v>
      </c>
      <c r="H129" s="51" t="s">
        <v>143</v>
      </c>
      <c r="I129" s="52">
        <v>40.0</v>
      </c>
      <c r="J129" s="48">
        <v>1.0</v>
      </c>
      <c r="K129" s="49">
        <f t="shared" si="12"/>
        <v>0</v>
      </c>
    </row>
    <row r="130">
      <c r="A130" s="41" t="s">
        <v>226</v>
      </c>
      <c r="B130" s="42" t="s">
        <v>227</v>
      </c>
      <c r="C130" s="43"/>
      <c r="D130" s="43"/>
      <c r="E130" s="43"/>
      <c r="F130" s="50">
        <v>0.0</v>
      </c>
      <c r="G130" s="51">
        <v>1.0</v>
      </c>
      <c r="H130" s="51" t="s">
        <v>122</v>
      </c>
      <c r="I130" s="52">
        <v>800.0</v>
      </c>
      <c r="J130" s="48">
        <v>1.0</v>
      </c>
      <c r="K130" s="49">
        <f t="shared" si="12"/>
        <v>0</v>
      </c>
    </row>
    <row r="131">
      <c r="A131" s="41" t="s">
        <v>228</v>
      </c>
      <c r="B131" s="42" t="s">
        <v>229</v>
      </c>
      <c r="C131" s="43"/>
      <c r="D131" s="43"/>
      <c r="E131" s="43"/>
      <c r="F131" s="50">
        <v>0.0</v>
      </c>
      <c r="G131" s="51">
        <v>1.0</v>
      </c>
      <c r="H131" s="51" t="s">
        <v>122</v>
      </c>
      <c r="I131" s="52">
        <v>800.0</v>
      </c>
      <c r="J131" s="48">
        <v>1.0</v>
      </c>
      <c r="K131" s="49">
        <f t="shared" si="12"/>
        <v>0</v>
      </c>
    </row>
    <row r="132">
      <c r="A132" s="41" t="s">
        <v>230</v>
      </c>
      <c r="B132" s="42" t="s">
        <v>231</v>
      </c>
      <c r="C132" s="43"/>
      <c r="D132" s="43"/>
      <c r="E132" s="43"/>
      <c r="F132" s="50">
        <v>0.0</v>
      </c>
      <c r="G132" s="51">
        <f t="shared" ref="G132:G133" si="18">$I$15</f>
        <v>45</v>
      </c>
      <c r="H132" s="51" t="s">
        <v>143</v>
      </c>
      <c r="I132" s="52">
        <v>95.0</v>
      </c>
      <c r="J132" s="48">
        <v>1.0</v>
      </c>
      <c r="K132" s="49">
        <f t="shared" si="12"/>
        <v>0</v>
      </c>
    </row>
    <row r="133">
      <c r="A133" s="41" t="s">
        <v>232</v>
      </c>
      <c r="B133" s="42" t="s">
        <v>233</v>
      </c>
      <c r="C133" s="43"/>
      <c r="D133" s="43"/>
      <c r="E133" s="43"/>
      <c r="F133" s="50">
        <v>0.0</v>
      </c>
      <c r="G133" s="51">
        <f t="shared" si="18"/>
        <v>45</v>
      </c>
      <c r="H133" s="51" t="s">
        <v>143</v>
      </c>
      <c r="I133" s="52">
        <v>95.0</v>
      </c>
      <c r="J133" s="48">
        <v>1.0</v>
      </c>
      <c r="K133" s="49">
        <f t="shared" si="12"/>
        <v>0</v>
      </c>
    </row>
    <row r="134">
      <c r="A134" s="41" t="s">
        <v>234</v>
      </c>
      <c r="B134" s="42" t="s">
        <v>235</v>
      </c>
      <c r="C134" s="43"/>
      <c r="D134" s="43"/>
      <c r="E134" s="43"/>
      <c r="F134" s="44">
        <v>1.0</v>
      </c>
      <c r="G134" s="51">
        <v>0.0</v>
      </c>
      <c r="H134" s="51" t="s">
        <v>114</v>
      </c>
      <c r="I134" s="52">
        <v>400.0</v>
      </c>
      <c r="J134" s="48">
        <v>1.0</v>
      </c>
      <c r="K134" s="49">
        <f t="shared" si="12"/>
        <v>0</v>
      </c>
    </row>
    <row r="135">
      <c r="A135" s="41" t="s">
        <v>236</v>
      </c>
      <c r="B135" s="62" t="s">
        <v>237</v>
      </c>
      <c r="F135" s="50">
        <v>0.0</v>
      </c>
      <c r="G135" s="51">
        <v>1.5</v>
      </c>
      <c r="H135" s="51" t="s">
        <v>75</v>
      </c>
      <c r="I135" s="52">
        <v>1000.0</v>
      </c>
      <c r="J135" s="48">
        <v>1.0</v>
      </c>
      <c r="K135" s="49">
        <f t="shared" si="12"/>
        <v>0</v>
      </c>
    </row>
    <row r="136">
      <c r="A136" s="41" t="s">
        <v>238</v>
      </c>
      <c r="B136" s="42" t="s">
        <v>239</v>
      </c>
      <c r="C136" s="43"/>
      <c r="D136" s="43"/>
      <c r="E136" s="43"/>
      <c r="F136" s="50">
        <v>0.0</v>
      </c>
      <c r="G136" s="51">
        <f t="shared" ref="G136:G140" si="19">$I$15</f>
        <v>45</v>
      </c>
      <c r="H136" s="51" t="s">
        <v>143</v>
      </c>
      <c r="I136" s="52">
        <v>80.0</v>
      </c>
      <c r="J136" s="48">
        <v>1.0</v>
      </c>
      <c r="K136" s="49">
        <f t="shared" si="12"/>
        <v>0</v>
      </c>
    </row>
    <row r="137">
      <c r="A137" s="41" t="s">
        <v>240</v>
      </c>
      <c r="B137" s="42" t="s">
        <v>241</v>
      </c>
      <c r="C137" s="43"/>
      <c r="D137" s="43"/>
      <c r="E137" s="43"/>
      <c r="F137" s="50">
        <v>0.0</v>
      </c>
      <c r="G137" s="51">
        <f t="shared" si="19"/>
        <v>45</v>
      </c>
      <c r="H137" s="51" t="s">
        <v>143</v>
      </c>
      <c r="I137" s="52">
        <v>80.0</v>
      </c>
      <c r="J137" s="48">
        <v>1.0</v>
      </c>
      <c r="K137" s="49">
        <f t="shared" si="12"/>
        <v>0</v>
      </c>
    </row>
    <row r="138">
      <c r="A138" s="41" t="s">
        <v>242</v>
      </c>
      <c r="B138" s="42" t="s">
        <v>243</v>
      </c>
      <c r="C138" s="43"/>
      <c r="D138" s="43"/>
      <c r="E138" s="43"/>
      <c r="F138" s="50">
        <v>0.0</v>
      </c>
      <c r="G138" s="51">
        <f t="shared" si="19"/>
        <v>45</v>
      </c>
      <c r="H138" s="51" t="s">
        <v>143</v>
      </c>
      <c r="I138" s="52">
        <v>80.0</v>
      </c>
      <c r="J138" s="48">
        <v>1.0</v>
      </c>
      <c r="K138" s="49">
        <f t="shared" si="12"/>
        <v>0</v>
      </c>
    </row>
    <row r="139">
      <c r="A139" s="41" t="s">
        <v>244</v>
      </c>
      <c r="B139" s="42" t="s">
        <v>245</v>
      </c>
      <c r="C139" s="43"/>
      <c r="D139" s="43"/>
      <c r="E139" s="43"/>
      <c r="F139" s="50">
        <v>0.0</v>
      </c>
      <c r="G139" s="51">
        <f t="shared" si="19"/>
        <v>45</v>
      </c>
      <c r="H139" s="51" t="s">
        <v>143</v>
      </c>
      <c r="I139" s="52">
        <v>110.0</v>
      </c>
      <c r="J139" s="48">
        <v>1.0</v>
      </c>
      <c r="K139" s="49">
        <f t="shared" si="12"/>
        <v>0</v>
      </c>
    </row>
    <row r="140">
      <c r="A140" s="41" t="s">
        <v>246</v>
      </c>
      <c r="B140" s="42" t="s">
        <v>247</v>
      </c>
      <c r="C140" s="43"/>
      <c r="D140" s="43"/>
      <c r="E140" s="43"/>
      <c r="F140" s="50">
        <v>0.0</v>
      </c>
      <c r="G140" s="51">
        <f t="shared" si="19"/>
        <v>45</v>
      </c>
      <c r="H140" s="51" t="s">
        <v>143</v>
      </c>
      <c r="I140" s="52">
        <v>140.0</v>
      </c>
      <c r="J140" s="48">
        <v>1.0</v>
      </c>
      <c r="K140" s="49">
        <f t="shared" si="12"/>
        <v>0</v>
      </c>
    </row>
    <row r="141">
      <c r="A141" s="41" t="s">
        <v>248</v>
      </c>
      <c r="B141" s="42" t="s">
        <v>249</v>
      </c>
      <c r="C141" s="43"/>
      <c r="D141" s="43"/>
      <c r="E141" s="43"/>
      <c r="F141" s="50">
        <v>0.0</v>
      </c>
      <c r="G141" s="51">
        <f>$I$15/10</f>
        <v>4.5</v>
      </c>
      <c r="H141" s="51" t="s">
        <v>143</v>
      </c>
      <c r="I141" s="52">
        <v>140.0</v>
      </c>
      <c r="J141" s="48">
        <v>1.0</v>
      </c>
      <c r="K141" s="49">
        <f t="shared" si="12"/>
        <v>0</v>
      </c>
    </row>
    <row r="142">
      <c r="A142" s="41" t="s">
        <v>250</v>
      </c>
      <c r="B142" s="42" t="s">
        <v>251</v>
      </c>
      <c r="C142" s="43"/>
      <c r="D142" s="43"/>
      <c r="E142" s="43"/>
      <c r="F142" s="50">
        <v>0.0</v>
      </c>
      <c r="G142" s="51">
        <f>$I$15</f>
        <v>45</v>
      </c>
      <c r="H142" s="50" t="s">
        <v>143</v>
      </c>
      <c r="I142" s="52">
        <v>110.0</v>
      </c>
      <c r="J142" s="48">
        <v>1.0</v>
      </c>
      <c r="K142" s="49">
        <f t="shared" si="12"/>
        <v>0</v>
      </c>
    </row>
    <row r="143">
      <c r="A143" s="41" t="s">
        <v>252</v>
      </c>
      <c r="B143" s="42" t="s">
        <v>253</v>
      </c>
      <c r="C143" s="43"/>
      <c r="D143" s="43"/>
      <c r="E143" s="43"/>
      <c r="F143" s="50">
        <v>0.0</v>
      </c>
      <c r="G143" s="51">
        <f>$I$15/10</f>
        <v>4.5</v>
      </c>
      <c r="H143" s="50" t="s">
        <v>143</v>
      </c>
      <c r="I143" s="52">
        <v>110.0</v>
      </c>
      <c r="J143" s="48">
        <v>1.0</v>
      </c>
      <c r="K143" s="49">
        <f t="shared" si="12"/>
        <v>0</v>
      </c>
    </row>
    <row r="144">
      <c r="A144" s="41" t="s">
        <v>254</v>
      </c>
      <c r="B144" s="63" t="s">
        <v>255</v>
      </c>
      <c r="C144" s="64"/>
      <c r="D144" s="64"/>
      <c r="E144" s="64"/>
      <c r="F144" s="50">
        <v>0.0</v>
      </c>
      <c r="G144" s="51">
        <f>$I$15</f>
        <v>45</v>
      </c>
      <c r="H144" s="65" t="s">
        <v>143</v>
      </c>
      <c r="I144" s="52">
        <v>80.0</v>
      </c>
      <c r="J144" s="66">
        <v>1.0</v>
      </c>
      <c r="K144" s="52">
        <f t="shared" si="12"/>
        <v>0</v>
      </c>
    </row>
    <row r="145">
      <c r="A145" s="41" t="s">
        <v>256</v>
      </c>
      <c r="B145" s="42" t="s">
        <v>257</v>
      </c>
      <c r="C145" s="43"/>
      <c r="D145" s="43"/>
      <c r="E145" s="43"/>
      <c r="F145" s="50">
        <v>0.0</v>
      </c>
      <c r="G145" s="51">
        <v>1.0</v>
      </c>
      <c r="H145" s="50" t="s">
        <v>160</v>
      </c>
      <c r="I145" s="52">
        <v>800.0</v>
      </c>
      <c r="J145" s="48">
        <v>1.0</v>
      </c>
      <c r="K145" s="49">
        <f t="shared" si="12"/>
        <v>0</v>
      </c>
    </row>
    <row r="146">
      <c r="A146" s="41" t="s">
        <v>258</v>
      </c>
      <c r="B146" s="42" t="s">
        <v>259</v>
      </c>
      <c r="C146" s="43"/>
      <c r="D146" s="43"/>
      <c r="E146" s="43"/>
      <c r="F146" s="50">
        <v>0.0</v>
      </c>
      <c r="G146" s="51">
        <v>1.0</v>
      </c>
      <c r="H146" s="50" t="s">
        <v>160</v>
      </c>
      <c r="I146" s="52">
        <v>800.0</v>
      </c>
      <c r="J146" s="48">
        <v>1.0</v>
      </c>
      <c r="K146" s="49">
        <f t="shared" si="12"/>
        <v>0</v>
      </c>
    </row>
    <row r="147">
      <c r="A147" s="41" t="s">
        <v>260</v>
      </c>
      <c r="B147" s="42" t="s">
        <v>261</v>
      </c>
      <c r="C147" s="43"/>
      <c r="D147" s="43"/>
      <c r="E147" s="43"/>
      <c r="F147" s="50">
        <v>0.0</v>
      </c>
      <c r="G147" s="51">
        <v>1.0</v>
      </c>
      <c r="H147" s="50" t="s">
        <v>160</v>
      </c>
      <c r="I147" s="52">
        <v>800.0</v>
      </c>
      <c r="J147" s="48">
        <v>1.0</v>
      </c>
      <c r="K147" s="49">
        <f t="shared" si="12"/>
        <v>0</v>
      </c>
    </row>
    <row r="148">
      <c r="A148" s="41" t="s">
        <v>262</v>
      </c>
      <c r="B148" s="42" t="s">
        <v>263</v>
      </c>
      <c r="C148" s="43"/>
      <c r="D148" s="43"/>
      <c r="E148" s="43"/>
      <c r="F148" s="50">
        <v>0.0</v>
      </c>
      <c r="G148" s="51">
        <f t="shared" ref="G148:G150" si="20">$I$15</f>
        <v>45</v>
      </c>
      <c r="H148" s="50" t="s">
        <v>143</v>
      </c>
      <c r="I148" s="52">
        <v>40.0</v>
      </c>
      <c r="J148" s="48">
        <v>1.0</v>
      </c>
      <c r="K148" s="49">
        <f t="shared" si="12"/>
        <v>0</v>
      </c>
    </row>
    <row r="149">
      <c r="A149" s="41" t="s">
        <v>264</v>
      </c>
      <c r="B149" s="42" t="s">
        <v>265</v>
      </c>
      <c r="C149" s="43"/>
      <c r="D149" s="43"/>
      <c r="E149" s="43"/>
      <c r="F149" s="50">
        <v>0.0</v>
      </c>
      <c r="G149" s="51">
        <f t="shared" si="20"/>
        <v>45</v>
      </c>
      <c r="H149" s="50" t="s">
        <v>143</v>
      </c>
      <c r="I149" s="52">
        <v>110.0</v>
      </c>
      <c r="J149" s="48">
        <v>1.0</v>
      </c>
      <c r="K149" s="49">
        <f t="shared" si="12"/>
        <v>0</v>
      </c>
    </row>
    <row r="150">
      <c r="A150" s="41" t="s">
        <v>266</v>
      </c>
      <c r="B150" s="42" t="s">
        <v>267</v>
      </c>
      <c r="C150" s="43"/>
      <c r="D150" s="43"/>
      <c r="E150" s="43"/>
      <c r="F150" s="50">
        <v>0.0</v>
      </c>
      <c r="G150" s="51">
        <f t="shared" si="20"/>
        <v>45</v>
      </c>
      <c r="H150" s="50" t="s">
        <v>143</v>
      </c>
      <c r="I150" s="52">
        <v>110.0</v>
      </c>
      <c r="J150" s="48">
        <v>1.0</v>
      </c>
      <c r="K150" s="49">
        <f t="shared" si="12"/>
        <v>0</v>
      </c>
    </row>
    <row r="151">
      <c r="A151" s="41" t="s">
        <v>268</v>
      </c>
      <c r="B151" s="42" t="s">
        <v>269</v>
      </c>
      <c r="C151" s="43"/>
      <c r="D151" s="43"/>
      <c r="E151" s="43"/>
      <c r="F151" s="50">
        <v>0.0</v>
      </c>
      <c r="G151" s="51">
        <f>$I$15/10</f>
        <v>4.5</v>
      </c>
      <c r="H151" s="50" t="s">
        <v>143</v>
      </c>
      <c r="I151" s="52">
        <v>110.0</v>
      </c>
      <c r="J151" s="48">
        <v>1.0</v>
      </c>
      <c r="K151" s="49">
        <f t="shared" si="12"/>
        <v>0</v>
      </c>
    </row>
    <row r="152">
      <c r="A152" s="41" t="s">
        <v>270</v>
      </c>
      <c r="B152" s="42" t="s">
        <v>271</v>
      </c>
      <c r="C152" s="43"/>
      <c r="D152" s="43"/>
      <c r="E152" s="43"/>
      <c r="F152" s="50">
        <v>0.0</v>
      </c>
      <c r="G152" s="51">
        <f t="shared" ref="G152:G157" si="21">$I$15</f>
        <v>45</v>
      </c>
      <c r="H152" s="50" t="s">
        <v>143</v>
      </c>
      <c r="I152" s="52">
        <v>90.0</v>
      </c>
      <c r="J152" s="48">
        <v>1.0</v>
      </c>
      <c r="K152" s="49">
        <f t="shared" si="12"/>
        <v>0</v>
      </c>
    </row>
    <row r="153">
      <c r="A153" s="41" t="s">
        <v>272</v>
      </c>
      <c r="B153" s="42" t="s">
        <v>273</v>
      </c>
      <c r="C153" s="43"/>
      <c r="D153" s="43"/>
      <c r="E153" s="43"/>
      <c r="F153" s="50">
        <v>0.0</v>
      </c>
      <c r="G153" s="51">
        <f t="shared" si="21"/>
        <v>45</v>
      </c>
      <c r="H153" s="50" t="s">
        <v>143</v>
      </c>
      <c r="I153" s="52">
        <v>40.0</v>
      </c>
      <c r="J153" s="48">
        <v>1.0</v>
      </c>
      <c r="K153" s="49">
        <f t="shared" si="12"/>
        <v>0</v>
      </c>
    </row>
    <row r="154">
      <c r="A154" s="41" t="s">
        <v>274</v>
      </c>
      <c r="B154" s="63" t="s">
        <v>275</v>
      </c>
      <c r="C154" s="16"/>
      <c r="D154" s="16"/>
      <c r="E154" s="16"/>
      <c r="F154" s="50">
        <v>0.0</v>
      </c>
      <c r="G154" s="51">
        <f t="shared" si="21"/>
        <v>45</v>
      </c>
      <c r="H154" s="51" t="s">
        <v>143</v>
      </c>
      <c r="I154" s="52">
        <v>130.0</v>
      </c>
      <c r="J154" s="48">
        <v>1.0</v>
      </c>
      <c r="K154" s="49">
        <f t="shared" si="12"/>
        <v>0</v>
      </c>
    </row>
    <row r="155">
      <c r="A155" s="41" t="s">
        <v>276</v>
      </c>
      <c r="B155" s="42" t="s">
        <v>277</v>
      </c>
      <c r="C155" s="43"/>
      <c r="D155" s="43"/>
      <c r="E155" s="43"/>
      <c r="F155" s="50">
        <v>0.0</v>
      </c>
      <c r="G155" s="46">
        <f t="shared" si="21"/>
        <v>45</v>
      </c>
      <c r="H155" s="46" t="s">
        <v>143</v>
      </c>
      <c r="I155" s="47">
        <v>130.0</v>
      </c>
      <c r="J155" s="48">
        <v>1.0</v>
      </c>
      <c r="K155" s="49">
        <f t="shared" si="12"/>
        <v>0</v>
      </c>
    </row>
    <row r="156">
      <c r="A156" s="41" t="s">
        <v>278</v>
      </c>
      <c r="B156" s="42" t="s">
        <v>279</v>
      </c>
      <c r="C156" s="43"/>
      <c r="D156" s="43"/>
      <c r="E156" s="43"/>
      <c r="F156" s="50">
        <v>0.0</v>
      </c>
      <c r="G156" s="46">
        <f t="shared" si="21"/>
        <v>45</v>
      </c>
      <c r="H156" s="46" t="s">
        <v>143</v>
      </c>
      <c r="I156" s="47">
        <v>110.0</v>
      </c>
      <c r="J156" s="48">
        <v>1.0</v>
      </c>
      <c r="K156" s="49">
        <f t="shared" si="12"/>
        <v>0</v>
      </c>
    </row>
    <row r="157">
      <c r="A157" s="41" t="s">
        <v>280</v>
      </c>
      <c r="B157" s="42" t="s">
        <v>281</v>
      </c>
      <c r="C157" s="43"/>
      <c r="D157" s="43"/>
      <c r="E157" s="43"/>
      <c r="F157" s="50">
        <v>0.0</v>
      </c>
      <c r="G157" s="46">
        <f t="shared" si="21"/>
        <v>45</v>
      </c>
      <c r="H157" s="46" t="s">
        <v>143</v>
      </c>
      <c r="I157" s="47">
        <v>100.0</v>
      </c>
      <c r="J157" s="48">
        <v>1.0</v>
      </c>
      <c r="K157" s="49">
        <f t="shared" si="12"/>
        <v>0</v>
      </c>
    </row>
    <row r="158">
      <c r="A158" s="41" t="s">
        <v>282</v>
      </c>
      <c r="B158" s="42" t="s">
        <v>283</v>
      </c>
      <c r="C158" s="43"/>
      <c r="D158" s="43"/>
      <c r="E158" s="43"/>
      <c r="F158" s="50">
        <v>0.0</v>
      </c>
      <c r="G158" s="46">
        <f t="shared" ref="G158:G161" si="22">$I$15/10</f>
        <v>4.5</v>
      </c>
      <c r="H158" s="46" t="s">
        <v>143</v>
      </c>
      <c r="I158" s="47">
        <v>130.0</v>
      </c>
      <c r="J158" s="48">
        <v>1.0</v>
      </c>
      <c r="K158" s="49">
        <f t="shared" si="12"/>
        <v>0</v>
      </c>
    </row>
    <row r="159">
      <c r="A159" s="41" t="s">
        <v>284</v>
      </c>
      <c r="B159" s="42" t="s">
        <v>285</v>
      </c>
      <c r="C159" s="43"/>
      <c r="D159" s="43"/>
      <c r="E159" s="43"/>
      <c r="F159" s="50">
        <v>0.0</v>
      </c>
      <c r="G159" s="46">
        <f t="shared" si="22"/>
        <v>4.5</v>
      </c>
      <c r="H159" s="46" t="s">
        <v>143</v>
      </c>
      <c r="I159" s="47">
        <v>130.0</v>
      </c>
      <c r="J159" s="48">
        <v>1.0</v>
      </c>
      <c r="K159" s="49">
        <f t="shared" si="12"/>
        <v>0</v>
      </c>
    </row>
    <row r="160">
      <c r="A160" s="41" t="s">
        <v>286</v>
      </c>
      <c r="B160" s="42" t="s">
        <v>287</v>
      </c>
      <c r="C160" s="43"/>
      <c r="D160" s="43"/>
      <c r="E160" s="43"/>
      <c r="F160" s="50">
        <v>0.0</v>
      </c>
      <c r="G160" s="46">
        <f t="shared" si="22"/>
        <v>4.5</v>
      </c>
      <c r="H160" s="46" t="s">
        <v>143</v>
      </c>
      <c r="I160" s="47">
        <v>110.0</v>
      </c>
      <c r="J160" s="48">
        <v>1.0</v>
      </c>
      <c r="K160" s="49">
        <f t="shared" si="12"/>
        <v>0</v>
      </c>
    </row>
    <row r="161">
      <c r="A161" s="41" t="s">
        <v>288</v>
      </c>
      <c r="B161" s="42" t="s">
        <v>289</v>
      </c>
      <c r="C161" s="43"/>
      <c r="D161" s="43"/>
      <c r="E161" s="43"/>
      <c r="F161" s="50">
        <v>0.0</v>
      </c>
      <c r="G161" s="46">
        <f t="shared" si="22"/>
        <v>4.5</v>
      </c>
      <c r="H161" s="46" t="s">
        <v>143</v>
      </c>
      <c r="I161" s="47">
        <v>100.0</v>
      </c>
      <c r="J161" s="48">
        <v>1.0</v>
      </c>
      <c r="K161" s="49">
        <f t="shared" si="12"/>
        <v>0</v>
      </c>
    </row>
    <row r="162">
      <c r="A162" s="41" t="s">
        <v>290</v>
      </c>
      <c r="B162" s="42" t="s">
        <v>291</v>
      </c>
      <c r="C162" s="43"/>
      <c r="D162" s="43"/>
      <c r="E162" s="43"/>
      <c r="F162" s="50">
        <v>0.0</v>
      </c>
      <c r="G162" s="51">
        <v>1.0</v>
      </c>
      <c r="H162" s="50" t="s">
        <v>292</v>
      </c>
      <c r="I162" s="52">
        <v>1000.0</v>
      </c>
      <c r="J162" s="48">
        <v>1.0</v>
      </c>
      <c r="K162" s="49">
        <f t="shared" si="12"/>
        <v>0</v>
      </c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3"/>
      <c r="K163" s="3"/>
    </row>
    <row r="164">
      <c r="A164" s="36" t="s">
        <v>293</v>
      </c>
      <c r="B164" s="37"/>
      <c r="C164" s="37"/>
      <c r="D164" s="37"/>
      <c r="E164" s="37"/>
      <c r="F164" s="37"/>
      <c r="G164" s="37"/>
      <c r="H164" s="37"/>
      <c r="I164" s="37"/>
      <c r="J164" s="39"/>
      <c r="K164" s="40">
        <f>SUM(K38:K163)/2</f>
        <v>0</v>
      </c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3"/>
      <c r="K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36" t="s">
        <v>294</v>
      </c>
      <c r="B167" s="37"/>
      <c r="C167" s="37"/>
      <c r="D167" s="37"/>
      <c r="E167" s="37"/>
      <c r="F167" s="37"/>
      <c r="G167" s="37"/>
      <c r="H167" s="37"/>
      <c r="I167" s="38" t="s">
        <v>48</v>
      </c>
      <c r="J167" s="39"/>
      <c r="K167" s="40">
        <f>SUM(K168:K178)</f>
        <v>0</v>
      </c>
    </row>
    <row r="168">
      <c r="A168" s="41" t="s">
        <v>295</v>
      </c>
      <c r="B168" s="67" t="s">
        <v>296</v>
      </c>
      <c r="C168" s="59"/>
      <c r="D168" s="59"/>
      <c r="E168" s="59"/>
      <c r="F168" s="44">
        <v>1.0</v>
      </c>
      <c r="G168" s="46">
        <v>0.0</v>
      </c>
      <c r="H168" s="46" t="s">
        <v>292</v>
      </c>
      <c r="I168" s="47">
        <v>28.0</v>
      </c>
      <c r="J168" s="48">
        <v>1.0</v>
      </c>
      <c r="K168" s="49">
        <f t="shared" ref="K168:K173" si="23">(F168*G168*I168)</f>
        <v>0</v>
      </c>
    </row>
    <row r="169">
      <c r="A169" s="41" t="s">
        <v>297</v>
      </c>
      <c r="B169" s="67" t="s">
        <v>298</v>
      </c>
      <c r="C169" s="59"/>
      <c r="D169" s="59"/>
      <c r="E169" s="59"/>
      <c r="F169" s="44">
        <v>1.0</v>
      </c>
      <c r="G169" s="46">
        <v>0.0</v>
      </c>
      <c r="H169" s="46" t="s">
        <v>299</v>
      </c>
      <c r="I169" s="47">
        <v>4500.0</v>
      </c>
      <c r="J169" s="48">
        <v>1.0</v>
      </c>
      <c r="K169" s="49">
        <f t="shared" si="23"/>
        <v>0</v>
      </c>
    </row>
    <row r="170">
      <c r="A170" s="41" t="s">
        <v>300</v>
      </c>
      <c r="B170" s="67" t="s">
        <v>301</v>
      </c>
      <c r="C170" s="59"/>
      <c r="D170" s="59"/>
      <c r="E170" s="59"/>
      <c r="F170" s="44">
        <v>1.0</v>
      </c>
      <c r="G170" s="46">
        <v>0.0</v>
      </c>
      <c r="H170" s="46" t="s">
        <v>299</v>
      </c>
      <c r="I170" s="47">
        <v>6000.0</v>
      </c>
      <c r="J170" s="48">
        <v>1.0</v>
      </c>
      <c r="K170" s="49">
        <f t="shared" si="23"/>
        <v>0</v>
      </c>
    </row>
    <row r="171">
      <c r="A171" s="41" t="s">
        <v>302</v>
      </c>
      <c r="B171" s="67" t="s">
        <v>303</v>
      </c>
      <c r="C171" s="59"/>
      <c r="D171" s="59"/>
      <c r="E171" s="59"/>
      <c r="F171" s="44">
        <v>1.0</v>
      </c>
      <c r="G171" s="46">
        <v>0.0</v>
      </c>
      <c r="H171" s="46" t="s">
        <v>299</v>
      </c>
      <c r="I171" s="47">
        <v>5000.0</v>
      </c>
      <c r="J171" s="48">
        <v>1.0</v>
      </c>
      <c r="K171" s="49">
        <f t="shared" si="23"/>
        <v>0</v>
      </c>
    </row>
    <row r="172">
      <c r="A172" s="41" t="s">
        <v>304</v>
      </c>
      <c r="B172" s="67" t="s">
        <v>305</v>
      </c>
      <c r="C172" s="59"/>
      <c r="D172" s="59"/>
      <c r="E172" s="59"/>
      <c r="F172" s="44">
        <v>1.0</v>
      </c>
      <c r="G172" s="46">
        <v>0.0</v>
      </c>
      <c r="H172" s="46" t="s">
        <v>299</v>
      </c>
      <c r="I172" s="47">
        <v>4800.0</v>
      </c>
      <c r="J172" s="48">
        <v>1.0</v>
      </c>
      <c r="K172" s="49">
        <f t="shared" si="23"/>
        <v>0</v>
      </c>
    </row>
    <row r="173">
      <c r="A173" s="41" t="s">
        <v>306</v>
      </c>
      <c r="B173" s="67" t="s">
        <v>307</v>
      </c>
      <c r="C173" s="59"/>
      <c r="D173" s="59"/>
      <c r="E173" s="59"/>
      <c r="F173" s="44">
        <v>1.0</v>
      </c>
      <c r="G173" s="46">
        <v>0.0</v>
      </c>
      <c r="H173" s="46" t="s">
        <v>299</v>
      </c>
      <c r="I173" s="47">
        <v>4500.0</v>
      </c>
      <c r="J173" s="48">
        <v>1.0</v>
      </c>
      <c r="K173" s="49">
        <f t="shared" si="23"/>
        <v>0</v>
      </c>
    </row>
    <row r="174">
      <c r="A174" s="41" t="s">
        <v>308</v>
      </c>
      <c r="B174" s="67" t="s">
        <v>309</v>
      </c>
      <c r="C174" s="59"/>
      <c r="D174" s="59"/>
      <c r="E174" s="59"/>
      <c r="F174" s="44">
        <v>1.0</v>
      </c>
      <c r="G174" s="46">
        <v>0.0</v>
      </c>
      <c r="H174" s="46" t="s">
        <v>299</v>
      </c>
      <c r="I174" s="47">
        <v>4500.0</v>
      </c>
      <c r="J174" s="48">
        <v>1.0</v>
      </c>
      <c r="K174" s="49">
        <f t="shared" ref="K174:K178" si="24">(F174*G174*I174)*J174</f>
        <v>0</v>
      </c>
    </row>
    <row r="175">
      <c r="A175" s="41" t="s">
        <v>310</v>
      </c>
      <c r="B175" s="67" t="s">
        <v>311</v>
      </c>
      <c r="C175" s="59"/>
      <c r="D175" s="59"/>
      <c r="E175" s="59"/>
      <c r="F175" s="44">
        <v>1.0</v>
      </c>
      <c r="G175" s="46">
        <v>0.0</v>
      </c>
      <c r="H175" s="46" t="s">
        <v>299</v>
      </c>
      <c r="I175" s="47">
        <v>4500.0</v>
      </c>
      <c r="J175" s="48">
        <v>1.0</v>
      </c>
      <c r="K175" s="49">
        <f t="shared" si="24"/>
        <v>0</v>
      </c>
    </row>
    <row r="176">
      <c r="A176" s="41" t="s">
        <v>312</v>
      </c>
      <c r="B176" s="67" t="s">
        <v>313</v>
      </c>
      <c r="C176" s="59"/>
      <c r="D176" s="59"/>
      <c r="E176" s="59"/>
      <c r="F176" s="44">
        <v>1.0</v>
      </c>
      <c r="G176" s="46">
        <v>0.0</v>
      </c>
      <c r="H176" s="46" t="s">
        <v>299</v>
      </c>
      <c r="I176" s="47">
        <v>4500.0</v>
      </c>
      <c r="J176" s="48">
        <v>1.0</v>
      </c>
      <c r="K176" s="49">
        <f t="shared" si="24"/>
        <v>0</v>
      </c>
    </row>
    <row r="177">
      <c r="A177" s="41" t="s">
        <v>314</v>
      </c>
      <c r="B177" s="67" t="s">
        <v>315</v>
      </c>
      <c r="C177" s="59"/>
      <c r="D177" s="59"/>
      <c r="E177" s="59"/>
      <c r="F177" s="50">
        <v>0.0</v>
      </c>
      <c r="G177" s="46">
        <v>0.0</v>
      </c>
      <c r="H177" s="46" t="s">
        <v>299</v>
      </c>
      <c r="I177" s="47">
        <v>11000.0</v>
      </c>
      <c r="J177" s="48">
        <v>1.0</v>
      </c>
      <c r="K177" s="49">
        <f t="shared" si="24"/>
        <v>0</v>
      </c>
    </row>
    <row r="178">
      <c r="A178" s="41" t="s">
        <v>316</v>
      </c>
      <c r="B178" s="67" t="s">
        <v>317</v>
      </c>
      <c r="C178" s="59"/>
      <c r="D178" s="59"/>
      <c r="E178" s="59"/>
      <c r="F178" s="44">
        <v>1.0</v>
      </c>
      <c r="G178" s="46">
        <v>0.0</v>
      </c>
      <c r="H178" s="46" t="s">
        <v>299</v>
      </c>
      <c r="I178" s="47">
        <v>4500.0</v>
      </c>
      <c r="J178" s="48">
        <v>1.0</v>
      </c>
      <c r="K178" s="49">
        <f t="shared" si="24"/>
        <v>0</v>
      </c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3"/>
      <c r="K179" s="3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3"/>
      <c r="K180" s="3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3"/>
      <c r="K181" s="3"/>
    </row>
    <row r="182">
      <c r="A182" s="36" t="s">
        <v>318</v>
      </c>
      <c r="B182" s="37"/>
      <c r="C182" s="37"/>
      <c r="D182" s="37"/>
      <c r="E182" s="37"/>
      <c r="F182" s="37"/>
      <c r="G182" s="37"/>
      <c r="H182" s="37"/>
      <c r="I182" s="38" t="s">
        <v>48</v>
      </c>
      <c r="J182" s="39"/>
      <c r="K182" s="40">
        <f>SUM(K183:K192)</f>
        <v>0</v>
      </c>
    </row>
    <row r="183">
      <c r="A183" s="41" t="s">
        <v>319</v>
      </c>
      <c r="B183" s="42" t="s">
        <v>320</v>
      </c>
      <c r="C183" s="43"/>
      <c r="D183" s="43"/>
      <c r="E183" s="43"/>
      <c r="F183" s="44">
        <v>1.0</v>
      </c>
      <c r="G183" s="68">
        <v>0.0</v>
      </c>
      <c r="H183" s="46" t="s">
        <v>299</v>
      </c>
      <c r="I183" s="69">
        <v>4200.0</v>
      </c>
      <c r="J183" s="48">
        <v>1.0</v>
      </c>
      <c r="K183" s="49">
        <f t="shared" ref="K183:K191" si="25">(F183*G183*I183)*J183</f>
        <v>0</v>
      </c>
    </row>
    <row r="184">
      <c r="A184" s="41" t="s">
        <v>321</v>
      </c>
      <c r="B184" s="42" t="s">
        <v>322</v>
      </c>
      <c r="C184" s="43"/>
      <c r="D184" s="43"/>
      <c r="E184" s="43"/>
      <c r="F184" s="44">
        <v>1.0</v>
      </c>
      <c r="G184" s="70">
        <v>0.0</v>
      </c>
      <c r="H184" s="46" t="s">
        <v>299</v>
      </c>
      <c r="I184" s="71">
        <v>2600.0</v>
      </c>
      <c r="J184" s="48">
        <v>1.0</v>
      </c>
      <c r="K184" s="49">
        <f t="shared" si="25"/>
        <v>0</v>
      </c>
    </row>
    <row r="185">
      <c r="A185" s="41" t="s">
        <v>323</v>
      </c>
      <c r="B185" s="42" t="s">
        <v>324</v>
      </c>
      <c r="C185" s="43"/>
      <c r="D185" s="43"/>
      <c r="E185" s="43"/>
      <c r="F185" s="44">
        <v>1.0</v>
      </c>
      <c r="G185" s="70">
        <v>0.0</v>
      </c>
      <c r="H185" s="46" t="s">
        <v>299</v>
      </c>
      <c r="I185" s="71">
        <v>10000.0</v>
      </c>
      <c r="J185" s="48">
        <v>1.0</v>
      </c>
      <c r="K185" s="49">
        <f t="shared" si="25"/>
        <v>0</v>
      </c>
    </row>
    <row r="186">
      <c r="A186" s="41" t="s">
        <v>325</v>
      </c>
      <c r="B186" s="42" t="s">
        <v>326</v>
      </c>
      <c r="C186" s="43"/>
      <c r="D186" s="43"/>
      <c r="E186" s="43"/>
      <c r="F186" s="44">
        <v>1.0</v>
      </c>
      <c r="G186" s="70">
        <v>0.0</v>
      </c>
      <c r="H186" s="46" t="s">
        <v>299</v>
      </c>
      <c r="I186" s="71">
        <v>12000.0</v>
      </c>
      <c r="J186" s="48">
        <v>1.0</v>
      </c>
      <c r="K186" s="49">
        <f t="shared" si="25"/>
        <v>0</v>
      </c>
    </row>
    <row r="187">
      <c r="A187" s="41" t="s">
        <v>327</v>
      </c>
      <c r="B187" s="42" t="s">
        <v>328</v>
      </c>
      <c r="C187" s="43"/>
      <c r="D187" s="43"/>
      <c r="E187" s="43"/>
      <c r="F187" s="44">
        <v>1.0</v>
      </c>
      <c r="G187" s="70">
        <v>0.0</v>
      </c>
      <c r="H187" s="46" t="s">
        <v>299</v>
      </c>
      <c r="I187" s="71">
        <v>14000.0</v>
      </c>
      <c r="J187" s="48">
        <v>1.0</v>
      </c>
      <c r="K187" s="49">
        <f t="shared" si="25"/>
        <v>0</v>
      </c>
    </row>
    <row r="188">
      <c r="A188" s="41" t="s">
        <v>329</v>
      </c>
      <c r="B188" s="42" t="s">
        <v>330</v>
      </c>
      <c r="C188" s="43"/>
      <c r="D188" s="43"/>
      <c r="E188" s="43"/>
      <c r="F188" s="44">
        <v>1.0</v>
      </c>
      <c r="G188" s="70">
        <v>0.0</v>
      </c>
      <c r="H188" s="46" t="s">
        <v>299</v>
      </c>
      <c r="I188" s="71">
        <v>870.0</v>
      </c>
      <c r="J188" s="48">
        <v>1.0</v>
      </c>
      <c r="K188" s="49">
        <f t="shared" si="25"/>
        <v>0</v>
      </c>
    </row>
    <row r="189">
      <c r="A189" s="41" t="s">
        <v>331</v>
      </c>
      <c r="B189" s="42" t="s">
        <v>332</v>
      </c>
      <c r="C189" s="43"/>
      <c r="D189" s="43"/>
      <c r="E189" s="43"/>
      <c r="F189" s="44">
        <v>1.0</v>
      </c>
      <c r="G189" s="70">
        <v>0.0</v>
      </c>
      <c r="H189" s="46" t="s">
        <v>299</v>
      </c>
      <c r="I189" s="71">
        <v>5000.0</v>
      </c>
      <c r="J189" s="48">
        <v>1.0</v>
      </c>
      <c r="K189" s="49">
        <f t="shared" si="25"/>
        <v>0</v>
      </c>
    </row>
    <row r="190">
      <c r="A190" s="41" t="s">
        <v>333</v>
      </c>
      <c r="B190" s="42" t="s">
        <v>334</v>
      </c>
      <c r="C190" s="43"/>
      <c r="D190" s="43"/>
      <c r="E190" s="43"/>
      <c r="F190" s="50">
        <v>0.0</v>
      </c>
      <c r="G190" s="70">
        <v>0.0</v>
      </c>
      <c r="H190" s="46" t="s">
        <v>335</v>
      </c>
      <c r="I190" s="71">
        <v>200.0</v>
      </c>
      <c r="J190" s="48">
        <v>1.0</v>
      </c>
      <c r="K190" s="49">
        <f t="shared" si="25"/>
        <v>0</v>
      </c>
    </row>
    <row r="191">
      <c r="A191" s="41" t="s">
        <v>336</v>
      </c>
      <c r="B191" s="42" t="s">
        <v>337</v>
      </c>
      <c r="C191" s="43"/>
      <c r="D191" s="43"/>
      <c r="E191" s="43"/>
      <c r="F191" s="50">
        <v>0.0</v>
      </c>
      <c r="G191" s="70">
        <v>0.0</v>
      </c>
      <c r="H191" s="46" t="s">
        <v>335</v>
      </c>
      <c r="I191" s="71">
        <v>200.0</v>
      </c>
      <c r="J191" s="48">
        <v>1.0</v>
      </c>
      <c r="K191" s="49">
        <f t="shared" si="25"/>
        <v>0</v>
      </c>
    </row>
    <row r="192">
      <c r="A192" s="72"/>
      <c r="B192" s="2"/>
      <c r="C192" s="2"/>
      <c r="D192" s="2"/>
      <c r="E192" s="2"/>
      <c r="F192" s="2"/>
      <c r="G192" s="2"/>
      <c r="H192" s="2"/>
      <c r="I192" s="2"/>
      <c r="J192" s="3"/>
      <c r="K192" s="3"/>
    </row>
    <row r="193">
      <c r="A193" s="36" t="s">
        <v>338</v>
      </c>
      <c r="B193" s="37"/>
      <c r="C193" s="37"/>
      <c r="D193" s="37"/>
      <c r="E193" s="37"/>
      <c r="F193" s="37"/>
      <c r="G193" s="37"/>
      <c r="H193" s="37"/>
      <c r="I193" s="73" t="s">
        <v>48</v>
      </c>
      <c r="J193" s="39"/>
      <c r="K193" s="40">
        <f>SUM(K194:K204)</f>
        <v>0</v>
      </c>
    </row>
    <row r="194">
      <c r="A194" s="41" t="s">
        <v>339</v>
      </c>
      <c r="B194" s="42" t="s">
        <v>340</v>
      </c>
      <c r="C194" s="43"/>
      <c r="D194" s="43"/>
      <c r="E194" s="74"/>
      <c r="F194" s="50">
        <v>0.0</v>
      </c>
      <c r="G194" s="75">
        <v>0.0</v>
      </c>
      <c r="H194" s="46" t="s">
        <v>341</v>
      </c>
      <c r="I194" s="47">
        <v>250.0</v>
      </c>
      <c r="J194" s="48">
        <v>1.0</v>
      </c>
      <c r="K194" s="47">
        <f t="shared" ref="K194:K199" si="26">(F194*G194*I194)*J194</f>
        <v>0</v>
      </c>
    </row>
    <row r="195">
      <c r="A195" s="41" t="s">
        <v>342</v>
      </c>
      <c r="B195" s="42" t="s">
        <v>343</v>
      </c>
      <c r="C195" s="43"/>
      <c r="D195" s="43"/>
      <c r="E195" s="74"/>
      <c r="F195" s="50">
        <v>0.0</v>
      </c>
      <c r="G195" s="75">
        <v>0.0</v>
      </c>
      <c r="H195" s="46" t="s">
        <v>341</v>
      </c>
      <c r="I195" s="47">
        <v>250.0</v>
      </c>
      <c r="J195" s="48">
        <v>1.0</v>
      </c>
      <c r="K195" s="47">
        <f t="shared" si="26"/>
        <v>0</v>
      </c>
    </row>
    <row r="196">
      <c r="A196" s="41" t="s">
        <v>344</v>
      </c>
      <c r="B196" s="42" t="s">
        <v>345</v>
      </c>
      <c r="C196" s="43"/>
      <c r="D196" s="43"/>
      <c r="E196" s="74"/>
      <c r="F196" s="50">
        <v>0.0</v>
      </c>
      <c r="G196" s="75">
        <v>0.0</v>
      </c>
      <c r="H196" s="46" t="s">
        <v>341</v>
      </c>
      <c r="I196" s="47">
        <v>250.0</v>
      </c>
      <c r="J196" s="48">
        <v>1.0</v>
      </c>
      <c r="K196" s="47">
        <f t="shared" si="26"/>
        <v>0</v>
      </c>
    </row>
    <row r="197">
      <c r="A197" s="41" t="s">
        <v>346</v>
      </c>
      <c r="B197" s="42" t="s">
        <v>347</v>
      </c>
      <c r="C197" s="43"/>
      <c r="D197" s="43"/>
      <c r="E197" s="74"/>
      <c r="F197" s="50">
        <v>0.0</v>
      </c>
      <c r="G197" s="75">
        <v>0.0</v>
      </c>
      <c r="H197" s="46" t="s">
        <v>341</v>
      </c>
      <c r="I197" s="47">
        <v>250.0</v>
      </c>
      <c r="J197" s="48">
        <v>1.0</v>
      </c>
      <c r="K197" s="47">
        <f t="shared" si="26"/>
        <v>0</v>
      </c>
    </row>
    <row r="198">
      <c r="A198" s="41" t="s">
        <v>348</v>
      </c>
      <c r="B198" s="42" t="s">
        <v>349</v>
      </c>
      <c r="C198" s="43"/>
      <c r="D198" s="43"/>
      <c r="E198" s="74"/>
      <c r="F198" s="50">
        <v>0.0</v>
      </c>
      <c r="G198" s="75">
        <v>0.0</v>
      </c>
      <c r="H198" s="46" t="s">
        <v>341</v>
      </c>
      <c r="I198" s="47">
        <v>250.0</v>
      </c>
      <c r="J198" s="48">
        <v>1.0</v>
      </c>
      <c r="K198" s="47">
        <f t="shared" si="26"/>
        <v>0</v>
      </c>
    </row>
    <row r="199">
      <c r="A199" s="41" t="s">
        <v>350</v>
      </c>
      <c r="B199" s="42" t="s">
        <v>351</v>
      </c>
      <c r="C199" s="43"/>
      <c r="D199" s="43"/>
      <c r="E199" s="74"/>
      <c r="F199" s="50">
        <v>0.0</v>
      </c>
      <c r="G199" s="75">
        <v>0.0</v>
      </c>
      <c r="H199" s="46" t="s">
        <v>341</v>
      </c>
      <c r="I199" s="47">
        <v>250.0</v>
      </c>
      <c r="J199" s="48">
        <v>1.0</v>
      </c>
      <c r="K199" s="47">
        <f t="shared" si="26"/>
        <v>0</v>
      </c>
    </row>
    <row r="200">
      <c r="A200" s="41" t="s">
        <v>352</v>
      </c>
      <c r="B200" s="42" t="s">
        <v>353</v>
      </c>
      <c r="C200" s="43"/>
      <c r="D200" s="43"/>
      <c r="E200" s="74"/>
      <c r="F200" s="50">
        <v>0.0</v>
      </c>
      <c r="G200" s="75">
        <v>0.0</v>
      </c>
      <c r="H200" s="46" t="s">
        <v>341</v>
      </c>
      <c r="I200" s="47">
        <v>250.0</v>
      </c>
      <c r="J200" s="48">
        <v>1.0</v>
      </c>
      <c r="K200" s="47">
        <f t="shared" ref="K200:K201" si="27">(F200*G200*I200)</f>
        <v>0</v>
      </c>
    </row>
    <row r="201">
      <c r="A201" s="41" t="s">
        <v>354</v>
      </c>
      <c r="B201" s="42" t="s">
        <v>355</v>
      </c>
      <c r="C201" s="43"/>
      <c r="D201" s="43"/>
      <c r="E201" s="74"/>
      <c r="F201" s="50">
        <v>0.0</v>
      </c>
      <c r="G201" s="75">
        <v>0.0</v>
      </c>
      <c r="H201" s="46" t="s">
        <v>341</v>
      </c>
      <c r="I201" s="47">
        <v>250.0</v>
      </c>
      <c r="J201" s="48">
        <v>1.0</v>
      </c>
      <c r="K201" s="47">
        <f t="shared" si="27"/>
        <v>0</v>
      </c>
    </row>
    <row r="202">
      <c r="A202" s="41" t="s">
        <v>356</v>
      </c>
      <c r="B202" s="42" t="s">
        <v>357</v>
      </c>
      <c r="C202" s="43"/>
      <c r="D202" s="43"/>
      <c r="E202" s="74"/>
      <c r="F202" s="50">
        <v>0.0</v>
      </c>
      <c r="G202" s="75">
        <v>0.0</v>
      </c>
      <c r="H202" s="46" t="s">
        <v>341</v>
      </c>
      <c r="I202" s="47">
        <v>250.0</v>
      </c>
      <c r="J202" s="48">
        <v>1.0</v>
      </c>
      <c r="K202" s="47">
        <f>(F202*G202*I202)*J202</f>
        <v>0</v>
      </c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3"/>
      <c r="K203" s="3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3"/>
      <c r="K204" s="3"/>
    </row>
    <row r="205">
      <c r="A205" s="36" t="s">
        <v>358</v>
      </c>
      <c r="B205" s="37"/>
      <c r="C205" s="37"/>
      <c r="D205" s="37"/>
      <c r="E205" s="37"/>
      <c r="F205" s="37"/>
      <c r="G205" s="37"/>
      <c r="H205" s="37"/>
      <c r="I205" s="37"/>
      <c r="J205" s="39"/>
      <c r="K205" s="40">
        <f>SUM(K182:K202)/2</f>
        <v>0</v>
      </c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3"/>
      <c r="K206" s="3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3"/>
      <c r="K207" s="3"/>
    </row>
    <row r="208">
      <c r="A208" s="76" t="s">
        <v>359</v>
      </c>
      <c r="B208" s="77"/>
      <c r="C208" s="77"/>
      <c r="D208" s="77"/>
      <c r="E208" s="77"/>
      <c r="F208" s="77"/>
      <c r="G208" s="77"/>
      <c r="H208" s="77"/>
      <c r="I208" s="77"/>
      <c r="J208" s="78"/>
      <c r="K208" s="79">
        <f>SUM(K164+K167+K205)</f>
        <v>0</v>
      </c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3"/>
      <c r="K209" s="3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3"/>
      <c r="K210" s="3"/>
    </row>
    <row r="211">
      <c r="A211" s="36" t="s">
        <v>360</v>
      </c>
      <c r="B211" s="37"/>
      <c r="C211" s="37"/>
      <c r="D211" s="37"/>
      <c r="E211" s="37"/>
      <c r="F211" s="37"/>
      <c r="G211" s="37"/>
      <c r="H211" s="37"/>
      <c r="I211" s="38" t="s">
        <v>48</v>
      </c>
      <c r="J211" s="39"/>
      <c r="K211" s="40">
        <f>SUM(K212:K221)</f>
        <v>0</v>
      </c>
    </row>
    <row r="212">
      <c r="A212" s="41" t="s">
        <v>361</v>
      </c>
      <c r="B212" s="80" t="s">
        <v>362</v>
      </c>
      <c r="C212" s="81"/>
      <c r="D212" s="81"/>
      <c r="E212" s="81"/>
      <c r="F212" s="44">
        <v>1.0</v>
      </c>
      <c r="G212" s="51">
        <v>0.0</v>
      </c>
      <c r="H212" s="46" t="s">
        <v>363</v>
      </c>
      <c r="I212" s="47">
        <v>25.0</v>
      </c>
      <c r="J212" s="48">
        <v>1.0</v>
      </c>
      <c r="K212" s="49">
        <f t="shared" ref="K212:K221" si="28">(F212*G212*I212)*J212</f>
        <v>0</v>
      </c>
    </row>
    <row r="213">
      <c r="A213" s="41" t="s">
        <v>364</v>
      </c>
      <c r="B213" s="80" t="s">
        <v>365</v>
      </c>
      <c r="C213" s="81"/>
      <c r="D213" s="81"/>
      <c r="E213" s="81"/>
      <c r="F213" s="50">
        <v>0.0</v>
      </c>
      <c r="G213" s="51">
        <f>$I$15/10</f>
        <v>4.5</v>
      </c>
      <c r="H213" s="46" t="s">
        <v>363</v>
      </c>
      <c r="I213" s="47">
        <v>75.0</v>
      </c>
      <c r="J213" s="48">
        <v>1.0</v>
      </c>
      <c r="K213" s="49">
        <f t="shared" si="28"/>
        <v>0</v>
      </c>
    </row>
    <row r="214">
      <c r="A214" s="41" t="s">
        <v>366</v>
      </c>
      <c r="B214" s="80" t="s">
        <v>367</v>
      </c>
      <c r="C214" s="81"/>
      <c r="D214" s="81"/>
      <c r="E214" s="81"/>
      <c r="F214" s="50">
        <v>0.0</v>
      </c>
      <c r="G214" s="51">
        <f>$I$15</f>
        <v>45</v>
      </c>
      <c r="H214" s="46" t="s">
        <v>363</v>
      </c>
      <c r="I214" s="47">
        <v>35.0</v>
      </c>
      <c r="J214" s="48">
        <v>1.0</v>
      </c>
      <c r="K214" s="49">
        <f t="shared" si="28"/>
        <v>0</v>
      </c>
    </row>
    <row r="215">
      <c r="A215" s="41" t="s">
        <v>368</v>
      </c>
      <c r="B215" s="80" t="s">
        <v>369</v>
      </c>
      <c r="C215" s="81"/>
      <c r="D215" s="81"/>
      <c r="E215" s="81"/>
      <c r="F215" s="50">
        <v>0.0</v>
      </c>
      <c r="G215" s="51">
        <f>$I$15/10</f>
        <v>4.5</v>
      </c>
      <c r="H215" s="46" t="s">
        <v>363</v>
      </c>
      <c r="I215" s="47">
        <v>35.0</v>
      </c>
      <c r="J215" s="48">
        <v>1.0</v>
      </c>
      <c r="K215" s="49">
        <f t="shared" si="28"/>
        <v>0</v>
      </c>
    </row>
    <row r="216">
      <c r="A216" s="41" t="s">
        <v>370</v>
      </c>
      <c r="B216" s="80" t="s">
        <v>371</v>
      </c>
      <c r="C216" s="81"/>
      <c r="D216" s="81"/>
      <c r="E216" s="81"/>
      <c r="F216" s="44">
        <v>1.0</v>
      </c>
      <c r="G216" s="51">
        <v>0.0</v>
      </c>
      <c r="H216" s="46" t="s">
        <v>363</v>
      </c>
      <c r="I216" s="47">
        <v>25.0</v>
      </c>
      <c r="J216" s="48">
        <v>1.0</v>
      </c>
      <c r="K216" s="49">
        <f t="shared" si="28"/>
        <v>0</v>
      </c>
    </row>
    <row r="217">
      <c r="A217" s="41" t="s">
        <v>372</v>
      </c>
      <c r="B217" s="80" t="s">
        <v>373</v>
      </c>
      <c r="C217" s="81"/>
      <c r="D217" s="81"/>
      <c r="E217" s="81"/>
      <c r="F217" s="50">
        <v>0.0</v>
      </c>
      <c r="G217" s="51">
        <f>$I$15/10</f>
        <v>4.5</v>
      </c>
      <c r="H217" s="46" t="s">
        <v>363</v>
      </c>
      <c r="I217" s="47">
        <v>60.0</v>
      </c>
      <c r="J217" s="48">
        <v>1.0</v>
      </c>
      <c r="K217" s="49">
        <f t="shared" si="28"/>
        <v>0</v>
      </c>
    </row>
    <row r="218">
      <c r="A218" s="41" t="s">
        <v>374</v>
      </c>
      <c r="B218" s="80" t="s">
        <v>375</v>
      </c>
      <c r="C218" s="81"/>
      <c r="D218" s="81"/>
      <c r="E218" s="81"/>
      <c r="F218" s="50">
        <v>0.0</v>
      </c>
      <c r="G218" s="51">
        <f>$I$15</f>
        <v>45</v>
      </c>
      <c r="H218" s="46" t="s">
        <v>363</v>
      </c>
      <c r="I218" s="47">
        <v>35.0</v>
      </c>
      <c r="J218" s="48">
        <v>1.0</v>
      </c>
      <c r="K218" s="49">
        <f t="shared" si="28"/>
        <v>0</v>
      </c>
    </row>
    <row r="219">
      <c r="A219" s="41" t="s">
        <v>376</v>
      </c>
      <c r="B219" s="80" t="s">
        <v>373</v>
      </c>
      <c r="C219" s="81"/>
      <c r="D219" s="81"/>
      <c r="E219" s="81"/>
      <c r="F219" s="50">
        <v>0.0</v>
      </c>
      <c r="G219" s="51">
        <f>$I$15/10</f>
        <v>4.5</v>
      </c>
      <c r="H219" s="46" t="s">
        <v>363</v>
      </c>
      <c r="I219" s="47">
        <v>35.0</v>
      </c>
      <c r="J219" s="48">
        <v>1.0</v>
      </c>
      <c r="K219" s="49">
        <f t="shared" si="28"/>
        <v>0</v>
      </c>
    </row>
    <row r="220">
      <c r="A220" s="41" t="s">
        <v>377</v>
      </c>
      <c r="B220" s="80" t="s">
        <v>378</v>
      </c>
      <c r="C220" s="81"/>
      <c r="D220" s="81"/>
      <c r="E220" s="81"/>
      <c r="F220" s="50">
        <v>0.0</v>
      </c>
      <c r="G220" s="51">
        <f t="shared" ref="G220:G221" si="29">$I$15</f>
        <v>45</v>
      </c>
      <c r="H220" s="46" t="s">
        <v>363</v>
      </c>
      <c r="I220" s="47">
        <v>35.0</v>
      </c>
      <c r="J220" s="48">
        <v>1.0</v>
      </c>
      <c r="K220" s="49">
        <f t="shared" si="28"/>
        <v>0</v>
      </c>
    </row>
    <row r="221">
      <c r="A221" s="41" t="s">
        <v>379</v>
      </c>
      <c r="B221" s="80" t="s">
        <v>380</v>
      </c>
      <c r="C221" s="81"/>
      <c r="D221" s="81"/>
      <c r="E221" s="81"/>
      <c r="F221" s="50">
        <v>0.0</v>
      </c>
      <c r="G221" s="51">
        <f t="shared" si="29"/>
        <v>45</v>
      </c>
      <c r="H221" s="46" t="s">
        <v>363</v>
      </c>
      <c r="I221" s="47">
        <v>15.0</v>
      </c>
      <c r="J221" s="48">
        <v>1.0</v>
      </c>
      <c r="K221" s="49">
        <f t="shared" si="28"/>
        <v>0</v>
      </c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76" t="s">
        <v>381</v>
      </c>
      <c r="B225" s="77"/>
      <c r="C225" s="77"/>
      <c r="D225" s="77"/>
      <c r="E225" s="77"/>
      <c r="F225" s="77"/>
      <c r="G225" s="77"/>
      <c r="H225" s="77"/>
      <c r="I225" s="77"/>
      <c r="J225" s="78"/>
      <c r="K225" s="79">
        <f>SUM(K208+K211)</f>
        <v>0</v>
      </c>
    </row>
    <row r="226">
      <c r="A226" s="76" t="s">
        <v>382</v>
      </c>
      <c r="B226" s="82">
        <v>0.163</v>
      </c>
      <c r="C226" s="77"/>
      <c r="D226" s="77"/>
      <c r="E226" s="77"/>
      <c r="F226" s="77"/>
      <c r="G226" s="77"/>
      <c r="H226" s="77"/>
      <c r="I226" s="77"/>
      <c r="J226" s="78"/>
      <c r="K226" s="79">
        <f>K225*B226</f>
        <v>0</v>
      </c>
    </row>
    <row r="227">
      <c r="A227" s="83"/>
      <c r="B227" s="77"/>
      <c r="C227" s="77"/>
      <c r="D227" s="77"/>
      <c r="E227" s="77"/>
      <c r="F227" s="77"/>
      <c r="G227" s="77"/>
      <c r="H227" s="77"/>
      <c r="I227" s="77"/>
      <c r="J227" s="78"/>
      <c r="K227" s="78"/>
    </row>
    <row r="228">
      <c r="A228" s="76" t="s">
        <v>383</v>
      </c>
      <c r="B228" s="77"/>
      <c r="C228" s="77"/>
      <c r="D228" s="77"/>
      <c r="E228" s="77"/>
      <c r="F228" s="77"/>
      <c r="G228" s="77"/>
      <c r="H228" s="77"/>
      <c r="I228" s="77"/>
      <c r="J228" s="78"/>
      <c r="K228" s="79">
        <f>(K225)/(100%-$B$226)</f>
        <v>0</v>
      </c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1"/>
      <c r="B231" s="2"/>
      <c r="C231" s="2"/>
      <c r="D231" s="2"/>
      <c r="E231" s="2"/>
      <c r="F231" s="2"/>
      <c r="G231" s="84" t="s">
        <v>384</v>
      </c>
      <c r="H231" s="5"/>
      <c r="I231" s="5"/>
      <c r="J231" s="5"/>
      <c r="K231" s="6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85"/>
      <c r="K232" s="3"/>
    </row>
    <row r="233">
      <c r="A233" s="1"/>
      <c r="B233" s="2"/>
      <c r="C233" s="2"/>
      <c r="D233" s="2"/>
      <c r="E233" s="2"/>
      <c r="F233" s="2"/>
      <c r="G233" s="26">
        <v>1.0</v>
      </c>
      <c r="H233" s="27" t="s">
        <v>385</v>
      </c>
      <c r="I233" s="86">
        <v>0.25</v>
      </c>
      <c r="J233" s="87">
        <f t="shared" ref="J233:J240" si="30">$J$73*I233</f>
        <v>0.25</v>
      </c>
      <c r="K233" s="88">
        <f t="shared" ref="K233:K240" si="31">$K$228*I233</f>
        <v>0</v>
      </c>
    </row>
    <row r="234">
      <c r="A234" s="1"/>
      <c r="B234" s="2"/>
      <c r="C234" s="2"/>
      <c r="D234" s="2"/>
      <c r="E234" s="2"/>
      <c r="F234" s="2"/>
      <c r="G234" s="26">
        <v>2.0</v>
      </c>
      <c r="H234" s="27" t="s">
        <v>386</v>
      </c>
      <c r="I234" s="86">
        <v>0.25</v>
      </c>
      <c r="J234" s="87">
        <f t="shared" si="30"/>
        <v>0.25</v>
      </c>
      <c r="K234" s="88">
        <f t="shared" si="31"/>
        <v>0</v>
      </c>
    </row>
    <row r="235">
      <c r="A235" s="1"/>
      <c r="B235" s="2"/>
      <c r="C235" s="2"/>
      <c r="D235" s="2"/>
      <c r="E235" s="2"/>
      <c r="F235" s="2"/>
      <c r="G235" s="26">
        <v>3.0</v>
      </c>
      <c r="H235" s="27" t="s">
        <v>387</v>
      </c>
      <c r="I235" s="86">
        <v>0.25</v>
      </c>
      <c r="J235" s="87">
        <f t="shared" si="30"/>
        <v>0.25</v>
      </c>
      <c r="K235" s="88">
        <f t="shared" si="31"/>
        <v>0</v>
      </c>
    </row>
    <row r="236">
      <c r="A236" s="1"/>
      <c r="B236" s="2"/>
      <c r="C236" s="2"/>
      <c r="D236" s="2"/>
      <c r="E236" s="2"/>
      <c r="F236" s="2"/>
      <c r="G236" s="26">
        <v>4.0</v>
      </c>
      <c r="H236" s="27" t="s">
        <v>388</v>
      </c>
      <c r="I236" s="86">
        <v>0.25</v>
      </c>
      <c r="J236" s="87">
        <f t="shared" si="30"/>
        <v>0.25</v>
      </c>
      <c r="K236" s="88">
        <f t="shared" si="31"/>
        <v>0</v>
      </c>
    </row>
    <row r="237">
      <c r="A237" s="1"/>
      <c r="B237" s="2"/>
      <c r="C237" s="2"/>
      <c r="D237" s="2"/>
      <c r="E237" s="2"/>
      <c r="F237" s="2"/>
      <c r="G237" s="26">
        <v>5.0</v>
      </c>
      <c r="H237" s="27" t="s">
        <v>389</v>
      </c>
      <c r="I237" s="86">
        <v>0.0</v>
      </c>
      <c r="J237" s="87">
        <f t="shared" si="30"/>
        <v>0</v>
      </c>
      <c r="K237" s="88">
        <f t="shared" si="31"/>
        <v>0</v>
      </c>
    </row>
    <row r="238">
      <c r="A238" s="1"/>
      <c r="B238" s="2"/>
      <c r="C238" s="2"/>
      <c r="D238" s="2"/>
      <c r="E238" s="2"/>
      <c r="F238" s="2"/>
      <c r="G238" s="26">
        <v>6.0</v>
      </c>
      <c r="H238" s="27" t="s">
        <v>390</v>
      </c>
      <c r="I238" s="86">
        <v>0.0</v>
      </c>
      <c r="J238" s="87">
        <f t="shared" si="30"/>
        <v>0</v>
      </c>
      <c r="K238" s="88">
        <f t="shared" si="31"/>
        <v>0</v>
      </c>
    </row>
    <row r="239">
      <c r="A239" s="1"/>
      <c r="B239" s="2"/>
      <c r="C239" s="2"/>
      <c r="D239" s="2"/>
      <c r="E239" s="2"/>
      <c r="F239" s="2"/>
      <c r="G239" s="26">
        <v>7.0</v>
      </c>
      <c r="H239" s="27" t="s">
        <v>391</v>
      </c>
      <c r="I239" s="86">
        <v>0.0</v>
      </c>
      <c r="J239" s="87">
        <f t="shared" si="30"/>
        <v>0</v>
      </c>
      <c r="K239" s="88">
        <f t="shared" si="31"/>
        <v>0</v>
      </c>
    </row>
    <row r="240">
      <c r="A240" s="1"/>
      <c r="B240" s="2"/>
      <c r="C240" s="2"/>
      <c r="D240" s="2"/>
      <c r="E240" s="2"/>
      <c r="F240" s="2"/>
      <c r="G240" s="26">
        <v>8.0</v>
      </c>
      <c r="H240" s="27" t="s">
        <v>392</v>
      </c>
      <c r="I240" s="86">
        <v>0.0</v>
      </c>
      <c r="J240" s="87">
        <f t="shared" si="30"/>
        <v>0</v>
      </c>
      <c r="K240" s="88">
        <f t="shared" si="31"/>
        <v>0</v>
      </c>
    </row>
    <row r="241">
      <c r="A241" s="1"/>
      <c r="B241" s="2"/>
      <c r="C241" s="2"/>
      <c r="D241" s="2"/>
      <c r="E241" s="2"/>
      <c r="F241" s="2"/>
      <c r="G241" s="2"/>
      <c r="H241" s="89"/>
      <c r="I241" s="90"/>
      <c r="J241" s="85"/>
      <c r="K241" s="3"/>
    </row>
    <row r="242">
      <c r="A242" s="1"/>
      <c r="B242" s="2"/>
      <c r="C242" s="2"/>
      <c r="D242" s="2"/>
      <c r="E242" s="2"/>
      <c r="F242" s="2"/>
      <c r="G242" s="2"/>
      <c r="H242" s="89"/>
      <c r="I242" s="90"/>
      <c r="J242" s="85"/>
      <c r="K242" s="3"/>
    </row>
    <row r="243">
      <c r="A243" s="1"/>
      <c r="B243" s="2"/>
      <c r="C243" s="2"/>
      <c r="D243" s="2"/>
      <c r="E243" s="2"/>
      <c r="F243" s="2"/>
      <c r="G243" s="2"/>
      <c r="H243" s="2"/>
      <c r="I243" s="86">
        <f t="shared" ref="I243:J243" si="32">SUM(I233:I242)</f>
        <v>1</v>
      </c>
      <c r="J243" s="87">
        <f t="shared" si="32"/>
        <v>1</v>
      </c>
      <c r="K243" s="3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91"/>
      <c r="K250" s="3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3"/>
      <c r="K264" s="3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3"/>
      <c r="K265" s="3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3"/>
      <c r="K266" s="3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3"/>
      <c r="K267" s="3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3"/>
      <c r="K268" s="3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3"/>
      <c r="K269" s="3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3"/>
      <c r="K270" s="3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3"/>
      <c r="K271" s="3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3"/>
      <c r="K272" s="3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3"/>
      <c r="K273" s="3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3"/>
      <c r="K274" s="3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3"/>
      <c r="K275" s="3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3"/>
      <c r="K276" s="3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3"/>
      <c r="K277" s="3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3"/>
      <c r="K278" s="3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3"/>
      <c r="K279" s="3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3"/>
      <c r="K280" s="3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3"/>
      <c r="K281" s="3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3"/>
      <c r="K282" s="3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3"/>
      <c r="K283" s="3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3"/>
      <c r="K284" s="3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3"/>
      <c r="K285" s="3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3"/>
      <c r="K286" s="3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3"/>
      <c r="K287" s="3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3"/>
      <c r="K288" s="3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3"/>
      <c r="K289" s="3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3"/>
      <c r="K290" s="3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3"/>
      <c r="K291" s="3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3"/>
      <c r="K292" s="3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3"/>
      <c r="K293" s="3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3"/>
      <c r="K294" s="3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3"/>
      <c r="K295" s="3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3"/>
      <c r="K296" s="3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3"/>
      <c r="K297" s="3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3"/>
      <c r="K298" s="3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3"/>
      <c r="K299" s="3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3"/>
      <c r="K300" s="3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3"/>
      <c r="K301" s="3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3"/>
      <c r="K302" s="3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3"/>
      <c r="K303" s="3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3"/>
      <c r="K304" s="3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3"/>
      <c r="K305" s="3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3"/>
      <c r="K306" s="3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3"/>
      <c r="K307" s="3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3"/>
      <c r="K308" s="3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3"/>
      <c r="K309" s="3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3"/>
      <c r="K310" s="3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3"/>
      <c r="K311" s="3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3"/>
      <c r="K312" s="3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3"/>
      <c r="K313" s="3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3"/>
      <c r="K314" s="3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3"/>
      <c r="K315" s="3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3"/>
      <c r="K316" s="3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3"/>
      <c r="K317" s="3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3"/>
      <c r="K318" s="3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3"/>
      <c r="K319" s="3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3"/>
      <c r="K320" s="3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3"/>
      <c r="K321" s="3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3"/>
      <c r="K322" s="3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3"/>
      <c r="K323" s="3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3"/>
      <c r="K324" s="3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3"/>
      <c r="K325" s="3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3"/>
      <c r="K326" s="3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3"/>
      <c r="K327" s="3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3"/>
      <c r="K328" s="3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3"/>
      <c r="K329" s="3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3"/>
      <c r="K330" s="3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3"/>
      <c r="K331" s="3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3"/>
      <c r="K332" s="3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3"/>
      <c r="K333" s="3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3"/>
      <c r="K334" s="3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3"/>
      <c r="K335" s="3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3"/>
      <c r="K336" s="3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3"/>
      <c r="K337" s="3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3"/>
      <c r="K338" s="3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3"/>
      <c r="K339" s="3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3"/>
      <c r="K340" s="3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3"/>
      <c r="K341" s="3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3"/>
      <c r="K342" s="3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3"/>
      <c r="K343" s="3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3"/>
      <c r="K344" s="3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3"/>
      <c r="K345" s="3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3"/>
      <c r="K346" s="3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3"/>
      <c r="K347" s="3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3"/>
      <c r="K348" s="3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3"/>
      <c r="K349" s="3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3"/>
      <c r="K350" s="3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3"/>
      <c r="K351" s="3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3"/>
      <c r="K352" s="3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3"/>
      <c r="K353" s="3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3"/>
      <c r="K354" s="3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3"/>
      <c r="K355" s="3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3"/>
      <c r="K356" s="3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3"/>
      <c r="K357" s="3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3"/>
      <c r="K358" s="3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3"/>
      <c r="K359" s="3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3"/>
      <c r="K360" s="3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3"/>
      <c r="K361" s="3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3"/>
      <c r="K362" s="3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3"/>
      <c r="K363" s="3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3"/>
      <c r="K364" s="3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3"/>
      <c r="K365" s="3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3"/>
      <c r="K366" s="3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3"/>
      <c r="K367" s="3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3"/>
      <c r="K368" s="3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3"/>
      <c r="K369" s="3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3"/>
      <c r="K370" s="3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3"/>
      <c r="K371" s="3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3"/>
      <c r="K372" s="3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3"/>
      <c r="K373" s="3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3"/>
      <c r="K374" s="3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3"/>
      <c r="K375" s="3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3"/>
      <c r="K376" s="3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3"/>
      <c r="K377" s="3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3"/>
      <c r="K378" s="3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3"/>
      <c r="K379" s="3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3"/>
      <c r="K380" s="3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3"/>
      <c r="K381" s="3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3"/>
      <c r="K382" s="3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3"/>
      <c r="K383" s="3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3"/>
      <c r="K384" s="3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3"/>
      <c r="K385" s="3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3"/>
      <c r="K386" s="3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3"/>
      <c r="K387" s="3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3"/>
      <c r="K388" s="3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3"/>
      <c r="K389" s="3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3"/>
      <c r="K390" s="3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3"/>
      <c r="K391" s="3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3"/>
      <c r="K392" s="3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3"/>
      <c r="K393" s="3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3"/>
      <c r="K394" s="3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3"/>
      <c r="K395" s="3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3"/>
      <c r="K396" s="3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3"/>
      <c r="K397" s="3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3"/>
      <c r="K398" s="3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3"/>
      <c r="K399" s="3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3"/>
      <c r="K400" s="3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3"/>
      <c r="K401" s="3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3"/>
      <c r="K402" s="3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3"/>
      <c r="K403" s="3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3"/>
      <c r="K404" s="3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3"/>
      <c r="K405" s="3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3"/>
      <c r="K406" s="3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3"/>
      <c r="K407" s="3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3"/>
      <c r="K408" s="3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3"/>
      <c r="K409" s="3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3"/>
      <c r="K410" s="3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3"/>
      <c r="K411" s="3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3"/>
      <c r="K412" s="3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3"/>
      <c r="K413" s="3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3"/>
      <c r="K414" s="3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3"/>
      <c r="K415" s="3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3"/>
      <c r="K416" s="3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3"/>
      <c r="K417" s="3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3"/>
      <c r="K418" s="3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3"/>
      <c r="K419" s="3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3"/>
      <c r="K420" s="3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3"/>
      <c r="K421" s="3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3"/>
      <c r="K422" s="3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3"/>
      <c r="K423" s="3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3"/>
      <c r="K424" s="3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3"/>
      <c r="K425" s="3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3"/>
      <c r="K426" s="3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3"/>
      <c r="K427" s="3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3"/>
      <c r="K428" s="3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3"/>
      <c r="K429" s="3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3"/>
      <c r="K430" s="3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3"/>
      <c r="K431" s="3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3"/>
      <c r="K432" s="3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3"/>
      <c r="K433" s="3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3"/>
      <c r="K434" s="3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3"/>
      <c r="K435" s="3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3"/>
      <c r="K436" s="3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3"/>
      <c r="K437" s="3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3"/>
      <c r="K438" s="3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3"/>
      <c r="K439" s="3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3"/>
      <c r="K440" s="3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3"/>
      <c r="K441" s="3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3"/>
      <c r="K442" s="3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3"/>
      <c r="K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145">
    <mergeCell ref="G15:H15"/>
    <mergeCell ref="G16:H16"/>
    <mergeCell ref="A12:K12"/>
    <mergeCell ref="B13:D13"/>
    <mergeCell ref="G13:H13"/>
    <mergeCell ref="B14:D14"/>
    <mergeCell ref="G14:H14"/>
    <mergeCell ref="B15:D15"/>
    <mergeCell ref="B16:D16"/>
    <mergeCell ref="B17:D17"/>
    <mergeCell ref="G17:H17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8:E58"/>
    <mergeCell ref="B59:E59"/>
    <mergeCell ref="B60:E60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2:E72"/>
    <mergeCell ref="B73:E73"/>
    <mergeCell ref="B74:E74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201:E201"/>
    <mergeCell ref="B202:E202"/>
    <mergeCell ref="G231:K231"/>
    <mergeCell ref="B194:E194"/>
    <mergeCell ref="B195:E195"/>
    <mergeCell ref="B196:E196"/>
    <mergeCell ref="B197:E197"/>
    <mergeCell ref="B198:E198"/>
    <mergeCell ref="B199:E199"/>
    <mergeCell ref="B200:E200"/>
    <mergeCell ref="B75:E75"/>
    <mergeCell ref="B76:E76"/>
    <mergeCell ref="B77:E77"/>
    <mergeCell ref="B78:E78"/>
    <mergeCell ref="B80:E80"/>
    <mergeCell ref="B81:E81"/>
    <mergeCell ref="B82:E82"/>
    <mergeCell ref="B83:E83"/>
    <mergeCell ref="B84:E84"/>
    <mergeCell ref="B86:E86"/>
    <mergeCell ref="B87:E87"/>
    <mergeCell ref="B88:E88"/>
    <mergeCell ref="B90:E90"/>
    <mergeCell ref="B91:E91"/>
    <mergeCell ref="B92:E92"/>
    <mergeCell ref="B93:E93"/>
    <mergeCell ref="B94:E94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</mergeCells>
  <dataValidations>
    <dataValidation type="list" allowBlank="1" sqref="B17 I17 F20:I22">
      <formula1>#REF!</formula1>
    </dataValidation>
  </dataValidations>
  <drawing r:id="rId1"/>
</worksheet>
</file>